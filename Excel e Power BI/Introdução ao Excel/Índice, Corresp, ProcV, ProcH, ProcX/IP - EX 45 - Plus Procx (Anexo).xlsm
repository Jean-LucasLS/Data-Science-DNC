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192e8cde338617d/Documents/Cursos/DNC/Formação em Dados/Introdução ao Excel/Índice^J Corresp^J ProcV^J ProcH^J ProcX/"/>
    </mc:Choice>
  </mc:AlternateContent>
  <xr:revisionPtr revIDLastSave="192" documentId="13_ncr:1_{F8281DED-EF1E-4285-A879-EF896DB907AD}" xr6:coauthVersionLast="47" xr6:coauthVersionMax="47" xr10:uidLastSave="{6420B1D7-1FB8-44EE-BF3A-67306C349EC2}"/>
  <bookViews>
    <workbookView xWindow="-120" yWindow="-120" windowWidth="20730" windowHeight="11040" activeTab="1" xr2:uid="{00000000-000D-0000-FFFF-FFFF00000000}"/>
  </bookViews>
  <sheets>
    <sheet name="CONTEÚDO" sheetId="1" r:id="rId1"/>
    <sheet name="EXPLICAÇÃO" sheetId="4" r:id="rId2"/>
    <sheet name="EXPLICAÇÃO (2)" sheetId="6" r:id="rId3"/>
    <sheet name="EXERCÍCIOS" sheetId="5" r:id="rId4"/>
    <sheet name="EXERCÍCIOS (Resolução)" sheetId="8" state="hidden" r:id="rId5"/>
  </sheets>
  <calcPr calcId="191029"/>
</workbook>
</file>

<file path=xl/calcChain.xml><?xml version="1.0" encoding="utf-8"?>
<calcChain xmlns="http://schemas.openxmlformats.org/spreadsheetml/2006/main">
  <c r="J10" i="4" l="1"/>
  <c r="K23" i="8" a="1"/>
  <c r="K23" i="8" s="1"/>
  <c r="H23" i="8" a="1"/>
  <c r="H23" i="8" s="1"/>
  <c r="K22" i="8" a="1"/>
  <c r="K22" i="8" s="1"/>
  <c r="H22" i="8" a="1"/>
  <c r="H22" i="8" s="1"/>
  <c r="K21" i="8" a="1"/>
  <c r="K21" i="8" s="1"/>
  <c r="H21" i="8" a="1"/>
  <c r="H21" i="8" s="1"/>
  <c r="K20" i="8" a="1"/>
  <c r="K20" i="8" s="1"/>
  <c r="H20" i="8" a="1"/>
  <c r="H20" i="8" s="1"/>
  <c r="K19" i="8" a="1"/>
  <c r="K19" i="8" s="1"/>
  <c r="H19" i="8" a="1"/>
  <c r="H19" i="8" s="1"/>
  <c r="K18" i="8" a="1"/>
  <c r="K18" i="8" s="1"/>
  <c r="H18" i="8" a="1"/>
  <c r="H18" i="8" s="1"/>
  <c r="K17" i="8" a="1"/>
  <c r="K17" i="8" s="1"/>
  <c r="H17" i="8" a="1"/>
  <c r="H17" i="8" s="1"/>
  <c r="K16" i="8" a="1"/>
  <c r="K16" i="8" s="1"/>
  <c r="H16" i="8" a="1"/>
  <c r="H16" i="8" s="1"/>
  <c r="K15" i="8" a="1"/>
  <c r="K15" i="8" s="1"/>
  <c r="H15" i="8" a="1"/>
  <c r="H15" i="8" s="1"/>
  <c r="K14" i="8" a="1"/>
  <c r="K14" i="8" s="1"/>
  <c r="H14" i="8" a="1"/>
  <c r="H14" i="8" s="1"/>
  <c r="K13" i="8" a="1"/>
  <c r="K13" i="8" s="1"/>
  <c r="H13" i="8" a="1"/>
  <c r="H13" i="8" s="1"/>
  <c r="K12" i="8" a="1"/>
  <c r="K12" i="8" s="1"/>
  <c r="H12" i="8" a="1"/>
  <c r="H12" i="8" s="1"/>
  <c r="B2" i="8"/>
  <c r="G49" i="6" l="1"/>
  <c r="G50" i="6" s="1"/>
  <c r="G48" i="6"/>
  <c r="G47" i="6"/>
  <c r="G40" i="6"/>
  <c r="G41" i="6" s="1"/>
  <c r="G42" i="6" s="1"/>
  <c r="G43" i="6" s="1"/>
  <c r="G44" i="6" s="1"/>
  <c r="G45" i="6" s="1"/>
  <c r="G39" i="6"/>
  <c r="G34" i="6"/>
  <c r="G35" i="6" s="1"/>
  <c r="G36" i="6" s="1"/>
  <c r="G37" i="6" s="1"/>
  <c r="G31" i="6"/>
  <c r="G32" i="6" s="1"/>
  <c r="G29" i="6"/>
  <c r="G28" i="6"/>
  <c r="G27" i="6"/>
  <c r="G24" i="6"/>
  <c r="G25" i="6" s="1"/>
  <c r="G20" i="6"/>
  <c r="G21" i="6" s="1"/>
  <c r="G22" i="6" s="1"/>
  <c r="G19" i="6"/>
  <c r="G14" i="6"/>
  <c r="G15" i="6" s="1"/>
  <c r="G16" i="6" s="1"/>
  <c r="G17" i="6" s="1"/>
  <c r="G13" i="6"/>
  <c r="G11" i="6"/>
  <c r="B2" i="6"/>
  <c r="B2" i="5" l="1"/>
  <c r="B2" i="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<sst xmlns="http://schemas.openxmlformats.org/spreadsheetml/2006/main" count="279" uniqueCount="93">
  <si>
    <t>&gt;&gt; ONE-LINER &lt;&lt;</t>
  </si>
  <si>
    <t>&gt;&gt; CONTEÚDO DA AULA &lt;&lt;</t>
  </si>
  <si>
    <t>PROCX</t>
  </si>
  <si>
    <t>"Função que substitui PROCV com uma procura mais otimizada com relação a matrizes e sua forma de procura."</t>
  </si>
  <si>
    <t>1. Diferença para o PROCV</t>
  </si>
  <si>
    <t>2. Formas de procura</t>
  </si>
  <si>
    <t>3. Utilização em matrizes</t>
  </si>
  <si>
    <t>(sku de produtos de supermercado)</t>
  </si>
  <si>
    <t>quantidade</t>
  </si>
  <si>
    <t>SKU</t>
  </si>
  <si>
    <t>Produto</t>
  </si>
  <si>
    <t>Quantidade</t>
  </si>
  <si>
    <t>Preço (un.)</t>
  </si>
  <si>
    <t>PROCV</t>
  </si>
  <si>
    <t>Açúcar;</t>
  </si>
  <si>
    <t>Arroz;</t>
  </si>
  <si>
    <t>Margarina;</t>
  </si>
  <si>
    <t>Biscoitos;</t>
  </si>
  <si>
    <t>Molho de tomate;</t>
  </si>
  <si>
    <t>Café;</t>
  </si>
  <si>
    <t>Álcool em gel;</t>
  </si>
  <si>
    <t>Carnes;</t>
  </si>
  <si>
    <t>Flanelas;</t>
  </si>
  <si>
    <t>Farinha;</t>
  </si>
  <si>
    <t>Brigadeiro</t>
  </si>
  <si>
    <t>Feijão;</t>
  </si>
  <si>
    <t>Fermento;</t>
  </si>
  <si>
    <t>Hortaliças;</t>
  </si>
  <si>
    <t>Iogurte;</t>
  </si>
  <si>
    <t>Leite;</t>
  </si>
  <si>
    <t>Macarrão;</t>
  </si>
  <si>
    <t>Óleo;</t>
  </si>
  <si>
    <t>Ovos;</t>
  </si>
  <si>
    <t>Pães;</t>
  </si>
  <si>
    <t>Queijo ralado;</t>
  </si>
  <si>
    <t>Sal;</t>
  </si>
  <si>
    <t>Temperos;</t>
  </si>
  <si>
    <t>Água Sanitária;</t>
  </si>
  <si>
    <t>Amaciante;</t>
  </si>
  <si>
    <t>Desinfetante;</t>
  </si>
  <si>
    <t>Detergente;</t>
  </si>
  <si>
    <t>Esponja de aço;</t>
  </si>
  <si>
    <t>Esponja de pia;</t>
  </si>
  <si>
    <t>Inseticida;</t>
  </si>
  <si>
    <t>Lustra-móveis;</t>
  </si>
  <si>
    <t>Luvas plásticas;</t>
  </si>
  <si>
    <t>Sabão em barra;</t>
  </si>
  <si>
    <t>Sabão em pó;</t>
  </si>
  <si>
    <t>Sacos de lixo;</t>
  </si>
  <si>
    <t>Absorventes;</t>
  </si>
  <si>
    <t>Água oxigenada;</t>
  </si>
  <si>
    <t>Algodão;</t>
  </si>
  <si>
    <t>Barbeador descartável;</t>
  </si>
  <si>
    <t>Curativos;</t>
  </si>
  <si>
    <t>Creme dental;</t>
  </si>
  <si>
    <t>Desodorante;</t>
  </si>
  <si>
    <t>Escova de dente;</t>
  </si>
  <si>
    <t>Esparadrapo;</t>
  </si>
  <si>
    <t>Fio dental;</t>
  </si>
  <si>
    <t>Gaze;</t>
  </si>
  <si>
    <t>Hastes flexíveis;</t>
  </si>
  <si>
    <t>Papel higiênico;</t>
  </si>
  <si>
    <t>Sabonete;</t>
  </si>
  <si>
    <t>Shampoo;</t>
  </si>
  <si>
    <t>Condicionador;</t>
  </si>
  <si>
    <t>Fósforo;</t>
  </si>
  <si>
    <t>Guardanapo de papel;</t>
  </si>
  <si>
    <t>Lâmpadas;</t>
  </si>
  <si>
    <t>Papel Alumínio;</t>
  </si>
  <si>
    <t>Papel Filme;</t>
  </si>
  <si>
    <t>Papel toalha;</t>
  </si>
  <si>
    <t>(log de produtos consumidos no supermercado)</t>
  </si>
  <si>
    <t>Quantidade Final</t>
  </si>
  <si>
    <t>Data</t>
  </si>
  <si>
    <t>Consumo</t>
  </si>
  <si>
    <t>Nome</t>
  </si>
  <si>
    <t>Matheus</t>
  </si>
  <si>
    <t>Pedro</t>
  </si>
  <si>
    <t>Lucas</t>
  </si>
  <si>
    <t>Caue</t>
  </si>
  <si>
    <t>Jeff</t>
  </si>
  <si>
    <t>Andre</t>
  </si>
  <si>
    <t>Luiza</t>
  </si>
  <si>
    <t>Elisa</t>
  </si>
  <si>
    <t>Luciana</t>
  </si>
  <si>
    <t>Marcus</t>
  </si>
  <si>
    <t>Breno</t>
  </si>
  <si>
    <t>Bruna</t>
  </si>
  <si>
    <t>Dia:</t>
  </si>
  <si>
    <t>NOME</t>
  </si>
  <si>
    <t>Tempo</t>
  </si>
  <si>
    <t>Horários</t>
  </si>
  <si>
    <t>*Exercício resolvido em aba oculta.. Já disse que to acompanhando, né? Tenta aí, primeiro!!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</si>
</sst>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[$-F400]h:mm:ss\ AM/PM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002060"/>
      <name val="Segoe UI Light"/>
      <family val="2"/>
    </font>
    <font>
      <b/>
      <sz val="12"/>
      <color rgb="FF002060"/>
      <name val="Calibri"/>
      <family val="2"/>
      <scheme val="minor"/>
    </font>
    <font>
      <b/>
      <i/>
      <sz val="11"/>
      <color rgb="FFCC0066"/>
      <name val="Calibri"/>
      <family val="2"/>
      <scheme val="minor"/>
    </font>
    <font>
      <i/>
      <sz val="11"/>
      <color rgb="FFCC0066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Nexa"/>
      <family val="3"/>
    </font>
    <font>
      <i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Nexa"/>
      <family val="3"/>
    </font>
    <font>
      <b/>
      <sz val="11"/>
      <color theme="0"/>
      <name val="Segoe UI Light"/>
      <family val="2"/>
    </font>
    <font>
      <b/>
      <i/>
      <sz val="11"/>
      <color theme="1"/>
      <name val="Segoe UI Light"/>
      <family val="2"/>
    </font>
    <font>
      <sz val="11"/>
      <color theme="0"/>
      <name val="Calibri"/>
      <family val="2"/>
      <scheme val="minor"/>
    </font>
    <font>
      <sz val="11"/>
      <color rgb="FF224086"/>
      <name val="Calibri"/>
      <family val="2"/>
      <scheme val="minor"/>
    </font>
    <font>
      <i/>
      <sz val="10"/>
      <color theme="0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45286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/>
      <diagonal/>
    </border>
    <border>
      <left style="medium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medium">
        <color theme="1" tint="0.499984740745262"/>
      </top>
      <bottom/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66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5" fillId="2" borderId="7" xfId="0" applyFont="1" applyFill="1" applyBorder="1"/>
    <xf numFmtId="0" fontId="0" fillId="2" borderId="0" xfId="0" applyFill="1"/>
    <xf numFmtId="0" fontId="5" fillId="2" borderId="0" xfId="0" applyFont="1" applyFill="1"/>
    <xf numFmtId="0" fontId="5" fillId="2" borderId="8" xfId="0" applyFont="1" applyFill="1" applyBorder="1"/>
    <xf numFmtId="0" fontId="5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6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0" xfId="0" applyFont="1" applyBorder="1" applyAlignment="1">
      <alignment horizontal="center" vertical="center"/>
    </xf>
    <xf numFmtId="44" fontId="8" fillId="0" borderId="0" xfId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44" fontId="0" fillId="0" borderId="21" xfId="1" applyFont="1" applyBorder="1" applyAlignment="1">
      <alignment horizont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8" fillId="0" borderId="23" xfId="0" applyFont="1" applyBorder="1" applyAlignment="1">
      <alignment horizontal="center"/>
    </xf>
    <xf numFmtId="44" fontId="0" fillId="0" borderId="24" xfId="1" applyFont="1" applyBorder="1" applyAlignment="1">
      <alignment horizontal="center"/>
    </xf>
    <xf numFmtId="0" fontId="9" fillId="3" borderId="17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 wrapText="1"/>
    </xf>
    <xf numFmtId="0" fontId="9" fillId="3" borderId="19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14" fontId="11" fillId="0" borderId="26" xfId="0" applyNumberFormat="1" applyFont="1" applyBorder="1" applyAlignment="1">
      <alignment vertical="center"/>
    </xf>
    <xf numFmtId="0" fontId="8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14" fontId="11" fillId="0" borderId="27" xfId="0" applyNumberFormat="1" applyFont="1" applyBorder="1" applyAlignment="1">
      <alignment vertical="center"/>
    </xf>
    <xf numFmtId="44" fontId="8" fillId="0" borderId="23" xfId="1" applyFont="1" applyBorder="1" applyAlignment="1">
      <alignment horizontal="center" vertical="center"/>
    </xf>
    <xf numFmtId="0" fontId="8" fillId="0" borderId="24" xfId="0" applyFont="1" applyBorder="1" applyAlignment="1">
      <alignment horizontal="center"/>
    </xf>
    <xf numFmtId="0" fontId="12" fillId="3" borderId="25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14" fontId="0" fillId="2" borderId="28" xfId="0" applyNumberFormat="1" applyFill="1" applyBorder="1" applyAlignment="1">
      <alignment vertical="center"/>
    </xf>
    <xf numFmtId="20" fontId="0" fillId="0" borderId="0" xfId="0" applyNumberFormat="1"/>
    <xf numFmtId="0" fontId="15" fillId="3" borderId="29" xfId="0" applyFont="1" applyFill="1" applyBorder="1" applyAlignment="1">
      <alignment horizontal="center"/>
    </xf>
    <xf numFmtId="0" fontId="8" fillId="0" borderId="29" xfId="0" applyFont="1" applyBorder="1" applyAlignment="1">
      <alignment horizontal="right" vertical="center"/>
    </xf>
    <xf numFmtId="164" fontId="0" fillId="0" borderId="29" xfId="0" applyNumberFormat="1" applyBorder="1"/>
    <xf numFmtId="0" fontId="0" fillId="0" borderId="29" xfId="0" applyBorder="1"/>
    <xf numFmtId="0" fontId="12" fillId="3" borderId="29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/>
    </xf>
    <xf numFmtId="20" fontId="8" fillId="0" borderId="29" xfId="1" applyNumberFormat="1" applyFont="1" applyBorder="1" applyAlignment="1">
      <alignment horizontal="center" vertical="center"/>
    </xf>
    <xf numFmtId="14" fontId="11" fillId="0" borderId="29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14" fontId="10" fillId="2" borderId="28" xfId="0" applyNumberFormat="1" applyFont="1" applyFill="1" applyBorder="1" applyAlignment="1">
      <alignment vertical="center"/>
    </xf>
    <xf numFmtId="0" fontId="13" fillId="3" borderId="29" xfId="0" applyFont="1" applyFill="1" applyBorder="1" applyAlignment="1">
      <alignment horizontal="center" vertical="center" wrapText="1"/>
    </xf>
    <xf numFmtId="44" fontId="8" fillId="0" borderId="29" xfId="1" applyFont="1" applyBorder="1" applyAlignment="1">
      <alignment horizontal="center" vertical="center"/>
    </xf>
    <xf numFmtId="0" fontId="17" fillId="0" borderId="0" xfId="0" applyFont="1"/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4" fillId="2" borderId="4" xfId="0" applyFont="1" applyFill="1" applyBorder="1" applyAlignment="1">
      <alignment horizontal="left" wrapText="1"/>
    </xf>
    <xf numFmtId="0" fontId="4" fillId="2" borderId="5" xfId="0" applyFont="1" applyFill="1" applyBorder="1" applyAlignment="1">
      <alignment horizontal="left" wrapText="1"/>
    </xf>
    <xf numFmtId="0" fontId="4" fillId="2" borderId="6" xfId="0" applyFont="1" applyFill="1" applyBorder="1" applyAlignment="1">
      <alignment horizontal="left" wrapText="1"/>
    </xf>
    <xf numFmtId="0" fontId="14" fillId="4" borderId="0" xfId="0" applyFont="1" applyFill="1" applyAlignment="1">
      <alignment horizontal="center" vertical="center" wrapTex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224086"/>
      <color rgb="FFE452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200025</xdr:colOff>
      <xdr:row>4</xdr:row>
      <xdr:rowOff>66675</xdr:rowOff>
    </xdr:from>
    <xdr:to>
      <xdr:col>11</xdr:col>
      <xdr:colOff>352025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8B394D7-2F86-4C40-8DF4-A1ADAC7C1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857625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0FB2485-AD06-484D-B98F-A2FBC1B31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304800</xdr:colOff>
      <xdr:row>4</xdr:row>
      <xdr:rowOff>66675</xdr:rowOff>
    </xdr:from>
    <xdr:to>
      <xdr:col>10</xdr:col>
      <xdr:colOff>380600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2D2EEF8-0E01-44D8-8DDF-11B62D9DA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9149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481D1FD-A1EA-438A-B59F-F031B23D3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285750</xdr:colOff>
      <xdr:row>4</xdr:row>
      <xdr:rowOff>66675</xdr:rowOff>
    </xdr:from>
    <xdr:to>
      <xdr:col>10</xdr:col>
      <xdr:colOff>142475</xdr:colOff>
      <xdr:row>5</xdr:row>
      <xdr:rowOff>133318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DB97554-CBCD-48B8-B858-DAB367751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74345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8E71019-8AF0-4206-98AB-443059208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4</xdr:row>
      <xdr:rowOff>66675</xdr:rowOff>
    </xdr:from>
    <xdr:to>
      <xdr:col>10</xdr:col>
      <xdr:colOff>28175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6939270-0AF4-4A74-8DF5-FAAC2AE61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6957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1</xdr:col>
      <xdr:colOff>733426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45288AF-98C5-4FCD-8405-247D7C326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4</xdr:row>
      <xdr:rowOff>66675</xdr:rowOff>
    </xdr:from>
    <xdr:to>
      <xdr:col>10</xdr:col>
      <xdr:colOff>28175</xdr:colOff>
      <xdr:row>5</xdr:row>
      <xdr:rowOff>133318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E541BE7-3581-496C-8E95-A2AC12AD5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6957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1</xdr:col>
      <xdr:colOff>733426</xdr:colOff>
      <xdr:row>5</xdr:row>
      <xdr:rowOff>1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CDCAFAC-2A3D-4FE1-9ABD-D60DFB523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Q20"/>
  <sheetViews>
    <sheetView showGridLines="0" workbookViewId="0">
      <selection activeCell="F11" sqref="F11"/>
    </sheetView>
  </sheetViews>
  <sheetFormatPr defaultRowHeight="15"/>
  <sheetData>
    <row r="1" spans="2:17" ht="15.75" thickBot="1"/>
    <row r="2" spans="2:17" ht="15" customHeight="1">
      <c r="B2" s="53" t="s">
        <v>2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7" spans="2:17" ht="15.75" thickBot="1"/>
    <row r="8" spans="2:17" ht="15" customHeight="1">
      <c r="B8" s="2" t="s">
        <v>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4"/>
    </row>
    <row r="9" spans="2:17" ht="18.75" customHeight="1">
      <c r="B9" s="62" t="s">
        <v>3</v>
      </c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4"/>
    </row>
    <row r="10" spans="2:17" ht="5.25" customHeight="1" thickBot="1"/>
    <row r="11" spans="2:17" ht="15.75">
      <c r="B11" s="2" t="s">
        <v>1</v>
      </c>
      <c r="C11" s="5"/>
      <c r="D11" s="5"/>
      <c r="E11" s="6"/>
    </row>
    <row r="12" spans="2:17">
      <c r="B12" s="7" t="s">
        <v>4</v>
      </c>
      <c r="C12" s="8"/>
      <c r="D12" s="9"/>
      <c r="E12" s="10"/>
    </row>
    <row r="13" spans="2:17">
      <c r="B13" s="7" t="s">
        <v>5</v>
      </c>
      <c r="C13" s="8"/>
      <c r="D13" s="9"/>
      <c r="E13" s="10"/>
    </row>
    <row r="14" spans="2:17">
      <c r="B14" s="11" t="s">
        <v>6</v>
      </c>
      <c r="C14" s="12"/>
      <c r="D14" s="12"/>
      <c r="E14" s="13"/>
    </row>
    <row r="20" spans="2:2">
      <c r="B20" s="1"/>
    </row>
  </sheetData>
  <mergeCells count="2">
    <mergeCell ref="B2:Q6"/>
    <mergeCell ref="B9:Q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Q65"/>
  <sheetViews>
    <sheetView showGridLines="0" tabSelected="1" topLeftCell="A3" workbookViewId="0">
      <selection activeCell="K10" sqref="K10"/>
    </sheetView>
  </sheetViews>
  <sheetFormatPr defaultRowHeight="15"/>
  <cols>
    <col min="4" max="4" width="23.7109375" bestFit="1" customWidth="1"/>
    <col min="5" max="5" width="8.42578125" bestFit="1" customWidth="1"/>
    <col min="6" max="6" width="9.5703125" bestFit="1" customWidth="1"/>
    <col min="9" max="9" width="17.5703125" bestFit="1" customWidth="1"/>
    <col min="10" max="10" width="11" customWidth="1"/>
    <col min="11" max="11" width="15.28515625" bestFit="1" customWidth="1"/>
  </cols>
  <sheetData>
    <row r="1" spans="2:17" ht="15.75" thickBot="1"/>
    <row r="2" spans="2:17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8" spans="2:17" ht="16.5">
      <c r="C8" s="14" t="s">
        <v>7</v>
      </c>
      <c r="D8" s="15"/>
      <c r="E8" s="15"/>
      <c r="F8" s="15"/>
      <c r="J8" s="65" t="s">
        <v>8</v>
      </c>
      <c r="K8" s="65"/>
    </row>
    <row r="9" spans="2:17" ht="31.5">
      <c r="C9" s="24" t="s">
        <v>9</v>
      </c>
      <c r="D9" s="25" t="s">
        <v>10</v>
      </c>
      <c r="E9" s="25" t="s">
        <v>11</v>
      </c>
      <c r="F9" s="26" t="s">
        <v>12</v>
      </c>
      <c r="I9" s="50" t="s">
        <v>10</v>
      </c>
      <c r="J9" s="50" t="s">
        <v>13</v>
      </c>
      <c r="K9" s="50" t="s">
        <v>2</v>
      </c>
    </row>
    <row r="10" spans="2:17">
      <c r="C10" s="16">
        <v>110873</v>
      </c>
      <c r="D10" s="17" t="s">
        <v>14</v>
      </c>
      <c r="E10" s="18">
        <v>11</v>
      </c>
      <c r="F10" s="19">
        <v>22</v>
      </c>
      <c r="I10" s="39" t="s">
        <v>15</v>
      </c>
      <c r="J10" s="51">
        <f>VLOOKUP(I10,D9:F65,3,FALSE)</f>
        <v>10</v>
      </c>
      <c r="K10" s="41"/>
    </row>
    <row r="11" spans="2:17">
      <c r="C11" s="16">
        <v>158184</v>
      </c>
      <c r="D11" s="17" t="s">
        <v>15</v>
      </c>
      <c r="E11" s="18">
        <v>80</v>
      </c>
      <c r="F11" s="19">
        <v>10</v>
      </c>
      <c r="I11" s="39" t="s">
        <v>16</v>
      </c>
      <c r="J11" s="45"/>
      <c r="K11" s="41"/>
    </row>
    <row r="12" spans="2:17">
      <c r="C12" s="16">
        <v>106609</v>
      </c>
      <c r="D12" s="17" t="s">
        <v>17</v>
      </c>
      <c r="E12" s="18">
        <v>52</v>
      </c>
      <c r="F12" s="19">
        <v>21</v>
      </c>
      <c r="I12" s="39" t="s">
        <v>18</v>
      </c>
      <c r="J12" s="45"/>
      <c r="K12" s="41"/>
    </row>
    <row r="13" spans="2:17">
      <c r="C13" s="16">
        <v>139094</v>
      </c>
      <c r="D13" s="17" t="s">
        <v>19</v>
      </c>
      <c r="E13" s="18">
        <v>69</v>
      </c>
      <c r="F13" s="19">
        <v>24</v>
      </c>
      <c r="I13" s="39" t="s">
        <v>20</v>
      </c>
      <c r="J13" s="45"/>
      <c r="K13" s="41"/>
    </row>
    <row r="14" spans="2:17">
      <c r="C14" s="16">
        <v>139572</v>
      </c>
      <c r="D14" s="17" t="s">
        <v>21</v>
      </c>
      <c r="E14" s="18">
        <v>29</v>
      </c>
      <c r="F14" s="19">
        <v>19</v>
      </c>
      <c r="I14" s="39" t="s">
        <v>22</v>
      </c>
      <c r="J14" s="45"/>
      <c r="K14" s="41"/>
    </row>
    <row r="15" spans="2:17">
      <c r="C15" s="16">
        <v>190115</v>
      </c>
      <c r="D15" s="17" t="s">
        <v>23</v>
      </c>
      <c r="E15" s="18">
        <v>46</v>
      </c>
      <c r="F15" s="19">
        <v>7</v>
      </c>
      <c r="I15" s="39" t="s">
        <v>24</v>
      </c>
      <c r="J15" s="45"/>
      <c r="K15" s="41"/>
    </row>
    <row r="16" spans="2:17">
      <c r="C16" s="16">
        <v>124938</v>
      </c>
      <c r="D16" s="17" t="s">
        <v>25</v>
      </c>
      <c r="E16" s="18">
        <v>11</v>
      </c>
      <c r="F16" s="19">
        <v>11</v>
      </c>
    </row>
    <row r="17" spans="3:6">
      <c r="C17" s="16">
        <v>160841</v>
      </c>
      <c r="D17" s="17" t="s">
        <v>26</v>
      </c>
      <c r="E17" s="18">
        <v>11</v>
      </c>
      <c r="F17" s="19">
        <v>15</v>
      </c>
    </row>
    <row r="18" spans="3:6">
      <c r="C18" s="16">
        <v>112197</v>
      </c>
      <c r="D18" s="17" t="s">
        <v>27</v>
      </c>
      <c r="E18" s="18">
        <v>67</v>
      </c>
      <c r="F18" s="19">
        <v>13</v>
      </c>
    </row>
    <row r="19" spans="3:6">
      <c r="C19" s="16">
        <v>114722</v>
      </c>
      <c r="D19" s="17" t="s">
        <v>28</v>
      </c>
      <c r="E19" s="18">
        <v>87</v>
      </c>
      <c r="F19" s="19">
        <v>14</v>
      </c>
    </row>
    <row r="20" spans="3:6">
      <c r="C20" s="16">
        <v>151195</v>
      </c>
      <c r="D20" s="17" t="s">
        <v>29</v>
      </c>
      <c r="E20" s="18">
        <v>5</v>
      </c>
      <c r="F20" s="19">
        <v>4</v>
      </c>
    </row>
    <row r="21" spans="3:6">
      <c r="C21" s="16">
        <v>132884</v>
      </c>
      <c r="D21" s="17" t="s">
        <v>30</v>
      </c>
      <c r="E21" s="18">
        <v>43</v>
      </c>
      <c r="F21" s="19">
        <v>5</v>
      </c>
    </row>
    <row r="22" spans="3:6">
      <c r="C22" s="16">
        <v>107355</v>
      </c>
      <c r="D22" s="17" t="s">
        <v>16</v>
      </c>
      <c r="E22" s="18">
        <v>97</v>
      </c>
      <c r="F22" s="19">
        <v>25</v>
      </c>
    </row>
    <row r="23" spans="3:6">
      <c r="C23" s="16">
        <v>111673</v>
      </c>
      <c r="D23" s="17" t="s">
        <v>18</v>
      </c>
      <c r="E23" s="18">
        <v>10</v>
      </c>
      <c r="F23" s="19">
        <v>12</v>
      </c>
    </row>
    <row r="24" spans="3:6">
      <c r="C24" s="16">
        <v>111655</v>
      </c>
      <c r="D24" s="17" t="s">
        <v>31</v>
      </c>
      <c r="E24" s="18">
        <v>58</v>
      </c>
      <c r="F24" s="19">
        <v>18</v>
      </c>
    </row>
    <row r="25" spans="3:6">
      <c r="C25" s="16">
        <v>106069</v>
      </c>
      <c r="D25" s="17" t="s">
        <v>32</v>
      </c>
      <c r="E25" s="18">
        <v>71</v>
      </c>
      <c r="F25" s="19">
        <v>13</v>
      </c>
    </row>
    <row r="26" spans="3:6">
      <c r="C26" s="16">
        <v>168421</v>
      </c>
      <c r="D26" s="17" t="s">
        <v>33</v>
      </c>
      <c r="E26" s="18">
        <v>77</v>
      </c>
      <c r="F26" s="19">
        <v>19</v>
      </c>
    </row>
    <row r="27" spans="3:6">
      <c r="C27" s="16">
        <v>188876</v>
      </c>
      <c r="D27" s="17" t="s">
        <v>34</v>
      </c>
      <c r="E27" s="18">
        <v>4</v>
      </c>
      <c r="F27" s="19">
        <v>12</v>
      </c>
    </row>
    <row r="28" spans="3:6">
      <c r="C28" s="16">
        <v>169072</v>
      </c>
      <c r="D28" s="17" t="s">
        <v>35</v>
      </c>
      <c r="E28" s="18">
        <v>7</v>
      </c>
      <c r="F28" s="19">
        <v>18</v>
      </c>
    </row>
    <row r="29" spans="3:6">
      <c r="C29" s="16">
        <v>194786</v>
      </c>
      <c r="D29" s="17" t="s">
        <v>36</v>
      </c>
      <c r="E29" s="18">
        <v>14</v>
      </c>
      <c r="F29" s="19">
        <v>4</v>
      </c>
    </row>
    <row r="30" spans="3:6">
      <c r="C30" s="16">
        <v>117293</v>
      </c>
      <c r="D30" s="17" t="s">
        <v>37</v>
      </c>
      <c r="E30" s="18">
        <v>53</v>
      </c>
      <c r="F30" s="19">
        <v>23</v>
      </c>
    </row>
    <row r="31" spans="3:6">
      <c r="C31" s="16">
        <v>158307</v>
      </c>
      <c r="D31" s="17" t="s">
        <v>20</v>
      </c>
      <c r="E31" s="18">
        <v>31</v>
      </c>
      <c r="F31" s="19">
        <v>13</v>
      </c>
    </row>
    <row r="32" spans="3:6">
      <c r="C32" s="16">
        <v>148800</v>
      </c>
      <c r="D32" s="17" t="s">
        <v>38</v>
      </c>
      <c r="E32" s="18">
        <v>53</v>
      </c>
      <c r="F32" s="19">
        <v>21</v>
      </c>
    </row>
    <row r="33" spans="3:6">
      <c r="C33" s="16">
        <v>158825</v>
      </c>
      <c r="D33" s="17" t="s">
        <v>39</v>
      </c>
      <c r="E33" s="18">
        <v>41</v>
      </c>
      <c r="F33" s="19">
        <v>17</v>
      </c>
    </row>
    <row r="34" spans="3:6">
      <c r="C34" s="16">
        <v>142489</v>
      </c>
      <c r="D34" s="17" t="s">
        <v>40</v>
      </c>
      <c r="E34" s="18">
        <v>96</v>
      </c>
      <c r="F34" s="19">
        <v>22</v>
      </c>
    </row>
    <row r="35" spans="3:6">
      <c r="C35" s="16">
        <v>157014</v>
      </c>
      <c r="D35" s="17" t="s">
        <v>41</v>
      </c>
      <c r="E35" s="18">
        <v>29</v>
      </c>
      <c r="F35" s="19">
        <v>24</v>
      </c>
    </row>
    <row r="36" spans="3:6">
      <c r="C36" s="16">
        <v>105492</v>
      </c>
      <c r="D36" s="17" t="s">
        <v>42</v>
      </c>
      <c r="E36" s="18">
        <v>7</v>
      </c>
      <c r="F36" s="19">
        <v>5</v>
      </c>
    </row>
    <row r="37" spans="3:6">
      <c r="C37" s="16">
        <v>187636</v>
      </c>
      <c r="D37" s="17" t="s">
        <v>22</v>
      </c>
      <c r="E37" s="18">
        <v>70</v>
      </c>
      <c r="F37" s="19">
        <v>3</v>
      </c>
    </row>
    <row r="38" spans="3:6">
      <c r="C38" s="16">
        <v>178239</v>
      </c>
      <c r="D38" s="17" t="s">
        <v>43</v>
      </c>
      <c r="E38" s="18">
        <v>9</v>
      </c>
      <c r="F38" s="19">
        <v>3</v>
      </c>
    </row>
    <row r="39" spans="3:6">
      <c r="C39" s="16">
        <v>158328</v>
      </c>
      <c r="D39" s="17" t="s">
        <v>44</v>
      </c>
      <c r="E39" s="18">
        <v>55</v>
      </c>
      <c r="F39" s="19">
        <v>3</v>
      </c>
    </row>
    <row r="40" spans="3:6">
      <c r="C40" s="16">
        <v>101236</v>
      </c>
      <c r="D40" s="17" t="s">
        <v>45</v>
      </c>
      <c r="E40" s="18">
        <v>57</v>
      </c>
      <c r="F40" s="19">
        <v>17</v>
      </c>
    </row>
    <row r="41" spans="3:6">
      <c r="C41" s="16">
        <v>110338</v>
      </c>
      <c r="D41" s="17" t="s">
        <v>46</v>
      </c>
      <c r="E41" s="18">
        <v>14</v>
      </c>
      <c r="F41" s="19">
        <v>3</v>
      </c>
    </row>
    <row r="42" spans="3:6">
      <c r="C42" s="16">
        <v>106546</v>
      </c>
      <c r="D42" s="17" t="s">
        <v>47</v>
      </c>
      <c r="E42" s="18">
        <v>40</v>
      </c>
      <c r="F42" s="19">
        <v>8</v>
      </c>
    </row>
    <row r="43" spans="3:6">
      <c r="C43" s="16">
        <v>183654</v>
      </c>
      <c r="D43" s="17" t="s">
        <v>48</v>
      </c>
      <c r="E43" s="18">
        <v>85</v>
      </c>
      <c r="F43" s="19">
        <v>1</v>
      </c>
    </row>
    <row r="44" spans="3:6">
      <c r="C44" s="16">
        <v>120575</v>
      </c>
      <c r="D44" s="17" t="s">
        <v>49</v>
      </c>
      <c r="E44" s="18">
        <v>77</v>
      </c>
      <c r="F44" s="19">
        <v>17</v>
      </c>
    </row>
    <row r="45" spans="3:6">
      <c r="C45" s="16">
        <v>138645</v>
      </c>
      <c r="D45" s="17" t="s">
        <v>50</v>
      </c>
      <c r="E45" s="18">
        <v>91</v>
      </c>
      <c r="F45" s="19">
        <v>1</v>
      </c>
    </row>
    <row r="46" spans="3:6">
      <c r="C46" s="16">
        <v>144109</v>
      </c>
      <c r="D46" s="17" t="s">
        <v>51</v>
      </c>
      <c r="E46" s="18">
        <v>64</v>
      </c>
      <c r="F46" s="19">
        <v>18</v>
      </c>
    </row>
    <row r="47" spans="3:6">
      <c r="C47" s="16">
        <v>182091</v>
      </c>
      <c r="D47" s="17" t="s">
        <v>52</v>
      </c>
      <c r="E47" s="18">
        <v>39</v>
      </c>
      <c r="F47" s="19">
        <v>15</v>
      </c>
    </row>
    <row r="48" spans="3:6">
      <c r="C48" s="16">
        <v>177238</v>
      </c>
      <c r="D48" s="17" t="s">
        <v>53</v>
      </c>
      <c r="E48" s="18">
        <v>1</v>
      </c>
      <c r="F48" s="19">
        <v>24</v>
      </c>
    </row>
    <row r="49" spans="3:6">
      <c r="C49" s="16">
        <v>110835</v>
      </c>
      <c r="D49" s="15" t="s">
        <v>54</v>
      </c>
      <c r="E49" s="18">
        <v>84</v>
      </c>
      <c r="F49" s="19">
        <v>4</v>
      </c>
    </row>
    <row r="50" spans="3:6">
      <c r="C50" s="16">
        <v>113967</v>
      </c>
      <c r="D50" s="15" t="s">
        <v>55</v>
      </c>
      <c r="E50" s="18">
        <v>5</v>
      </c>
      <c r="F50" s="19">
        <v>18</v>
      </c>
    </row>
    <row r="51" spans="3:6">
      <c r="C51" s="16">
        <v>133049</v>
      </c>
      <c r="D51" s="15" t="s">
        <v>56</v>
      </c>
      <c r="E51" s="18">
        <v>26</v>
      </c>
      <c r="F51" s="19">
        <v>20</v>
      </c>
    </row>
    <row r="52" spans="3:6">
      <c r="C52" s="16">
        <v>150432</v>
      </c>
      <c r="D52" s="15" t="s">
        <v>57</v>
      </c>
      <c r="E52" s="18">
        <v>21</v>
      </c>
      <c r="F52" s="19">
        <v>25</v>
      </c>
    </row>
    <row r="53" spans="3:6">
      <c r="C53" s="16">
        <v>181706</v>
      </c>
      <c r="D53" s="15" t="s">
        <v>58</v>
      </c>
      <c r="E53" s="18">
        <v>73</v>
      </c>
      <c r="F53" s="19">
        <v>3</v>
      </c>
    </row>
    <row r="54" spans="3:6">
      <c r="C54" s="16">
        <v>108813</v>
      </c>
      <c r="D54" s="15" t="s">
        <v>59</v>
      </c>
      <c r="E54" s="18">
        <v>72</v>
      </c>
      <c r="F54" s="19">
        <v>21</v>
      </c>
    </row>
    <row r="55" spans="3:6">
      <c r="C55" s="16">
        <v>157145</v>
      </c>
      <c r="D55" s="15" t="s">
        <v>60</v>
      </c>
      <c r="E55" s="18">
        <v>66</v>
      </c>
      <c r="F55" s="19">
        <v>13</v>
      </c>
    </row>
    <row r="56" spans="3:6">
      <c r="C56" s="16">
        <v>137734</v>
      </c>
      <c r="D56" s="15" t="s">
        <v>61</v>
      </c>
      <c r="E56" s="18">
        <v>49</v>
      </c>
      <c r="F56" s="19">
        <v>21</v>
      </c>
    </row>
    <row r="57" spans="3:6">
      <c r="C57" s="16">
        <v>159794</v>
      </c>
      <c r="D57" s="15" t="s">
        <v>62</v>
      </c>
      <c r="E57" s="18">
        <v>73</v>
      </c>
      <c r="F57" s="19">
        <v>3</v>
      </c>
    </row>
    <row r="58" spans="3:6">
      <c r="C58" s="16">
        <v>179976</v>
      </c>
      <c r="D58" s="15" t="s">
        <v>63</v>
      </c>
      <c r="E58" s="18">
        <v>51</v>
      </c>
      <c r="F58" s="19">
        <v>2</v>
      </c>
    </row>
    <row r="59" spans="3:6">
      <c r="C59" s="16">
        <v>191588</v>
      </c>
      <c r="D59" s="15" t="s">
        <v>64</v>
      </c>
      <c r="E59" s="18">
        <v>61</v>
      </c>
      <c r="F59" s="19">
        <v>8</v>
      </c>
    </row>
    <row r="60" spans="3:6">
      <c r="C60" s="16">
        <v>199327</v>
      </c>
      <c r="D60" s="15" t="s">
        <v>65</v>
      </c>
      <c r="E60" s="18">
        <v>100</v>
      </c>
      <c r="F60" s="19">
        <v>2</v>
      </c>
    </row>
    <row r="61" spans="3:6">
      <c r="C61" s="16">
        <v>166993</v>
      </c>
      <c r="D61" s="15" t="s">
        <v>66</v>
      </c>
      <c r="E61" s="18">
        <v>11</v>
      </c>
      <c r="F61" s="19">
        <v>5</v>
      </c>
    </row>
    <row r="62" spans="3:6">
      <c r="C62" s="16">
        <v>150830</v>
      </c>
      <c r="D62" s="15" t="s">
        <v>67</v>
      </c>
      <c r="E62" s="18">
        <v>20</v>
      </c>
      <c r="F62" s="19">
        <v>10</v>
      </c>
    </row>
    <row r="63" spans="3:6">
      <c r="C63" s="16">
        <v>161121</v>
      </c>
      <c r="D63" s="15" t="s">
        <v>68</v>
      </c>
      <c r="E63" s="18">
        <v>19</v>
      </c>
      <c r="F63" s="19">
        <v>25</v>
      </c>
    </row>
    <row r="64" spans="3:6">
      <c r="C64" s="16">
        <v>185670</v>
      </c>
      <c r="D64" s="15" t="s">
        <v>69</v>
      </c>
      <c r="E64" s="18">
        <v>31</v>
      </c>
      <c r="F64" s="19">
        <v>2</v>
      </c>
    </row>
    <row r="65" spans="3:6">
      <c r="C65" s="20">
        <v>154518</v>
      </c>
      <c r="D65" s="21" t="s">
        <v>70</v>
      </c>
      <c r="E65" s="22">
        <v>52</v>
      </c>
      <c r="F65" s="23">
        <v>11</v>
      </c>
    </row>
  </sheetData>
  <mergeCells count="2">
    <mergeCell ref="B2:Q6"/>
    <mergeCell ref="J8:K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F7F39-7910-42A6-A836-1C97DCBCF07B}">
  <dimension ref="B1:Q51"/>
  <sheetViews>
    <sheetView showGridLines="0" topLeftCell="B1" workbookViewId="0">
      <selection activeCell="I9" sqref="I9"/>
    </sheetView>
  </sheetViews>
  <sheetFormatPr defaultRowHeight="15"/>
  <cols>
    <col min="3" max="3" width="12.85546875" customWidth="1"/>
    <col min="4" max="4" width="23.7109375" bestFit="1" customWidth="1"/>
    <col min="5" max="5" width="12" customWidth="1"/>
    <col min="6" max="6" width="12.28515625" customWidth="1"/>
    <col min="10" max="10" width="10.42578125" customWidth="1"/>
  </cols>
  <sheetData>
    <row r="1" spans="2:17" ht="15.75" thickBot="1"/>
    <row r="2" spans="2:17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7" spans="2:17" ht="13.5" customHeight="1"/>
    <row r="8" spans="2:17" ht="16.5" customHeight="1">
      <c r="C8" s="27" t="s">
        <v>71</v>
      </c>
      <c r="D8" s="15"/>
      <c r="E8" s="15"/>
      <c r="F8" s="15"/>
      <c r="G8" s="15"/>
      <c r="K8" s="65" t="s">
        <v>72</v>
      </c>
      <c r="L8" s="65"/>
    </row>
    <row r="9" spans="2:17" ht="33">
      <c r="C9" s="34" t="s">
        <v>73</v>
      </c>
      <c r="D9" s="24" t="s">
        <v>9</v>
      </c>
      <c r="E9" s="25" t="s">
        <v>10</v>
      </c>
      <c r="F9" s="25" t="s">
        <v>74</v>
      </c>
      <c r="G9" s="26" t="s">
        <v>11</v>
      </c>
      <c r="J9" s="50" t="s">
        <v>10</v>
      </c>
      <c r="K9" s="50" t="s">
        <v>13</v>
      </c>
      <c r="L9" s="50" t="s">
        <v>2</v>
      </c>
    </row>
    <row r="10" spans="2:17">
      <c r="C10" s="28">
        <v>43891</v>
      </c>
      <c r="D10" s="16">
        <v>110873</v>
      </c>
      <c r="E10" s="17" t="s">
        <v>14</v>
      </c>
      <c r="F10" s="18">
        <v>10</v>
      </c>
      <c r="G10" s="29">
        <v>11</v>
      </c>
      <c r="J10" s="45" t="s">
        <v>14</v>
      </c>
      <c r="K10" s="45"/>
      <c r="L10" s="41"/>
    </row>
    <row r="11" spans="2:17">
      <c r="C11" s="28">
        <v>43892</v>
      </c>
      <c r="D11" s="16">
        <v>110874</v>
      </c>
      <c r="E11" s="17" t="s">
        <v>14</v>
      </c>
      <c r="F11" s="18">
        <v>2</v>
      </c>
      <c r="G11" s="30">
        <f>G10-F11</f>
        <v>9</v>
      </c>
      <c r="J11" s="51" t="s">
        <v>15</v>
      </c>
      <c r="K11" s="45"/>
      <c r="L11" s="41"/>
    </row>
    <row r="12" spans="2:17">
      <c r="C12" s="28">
        <v>43891</v>
      </c>
      <c r="D12" s="16">
        <v>158184</v>
      </c>
      <c r="E12" s="17" t="s">
        <v>15</v>
      </c>
      <c r="F12" s="18">
        <v>7</v>
      </c>
      <c r="G12" s="29">
        <v>80</v>
      </c>
      <c r="J12" s="51" t="s">
        <v>17</v>
      </c>
      <c r="K12" s="45"/>
      <c r="L12" s="41"/>
    </row>
    <row r="13" spans="2:17">
      <c r="C13" s="28">
        <v>43892</v>
      </c>
      <c r="D13" s="16">
        <v>158185</v>
      </c>
      <c r="E13" s="17" t="s">
        <v>15</v>
      </c>
      <c r="F13" s="18">
        <v>7</v>
      </c>
      <c r="G13" s="30">
        <f>G12-F13</f>
        <v>73</v>
      </c>
      <c r="J13" s="45" t="s">
        <v>19</v>
      </c>
      <c r="K13" s="45"/>
      <c r="L13" s="41"/>
    </row>
    <row r="14" spans="2:17">
      <c r="C14" s="28">
        <v>43893</v>
      </c>
      <c r="D14" s="16">
        <v>158186</v>
      </c>
      <c r="E14" s="17" t="s">
        <v>15</v>
      </c>
      <c r="F14" s="18">
        <v>4</v>
      </c>
      <c r="G14" s="30">
        <f>G13-F14</f>
        <v>69</v>
      </c>
      <c r="J14" s="45" t="s">
        <v>21</v>
      </c>
      <c r="K14" s="45"/>
      <c r="L14" s="41"/>
    </row>
    <row r="15" spans="2:17">
      <c r="C15" s="28">
        <v>43894</v>
      </c>
      <c r="D15" s="16">
        <v>158187</v>
      </c>
      <c r="E15" s="17" t="s">
        <v>15</v>
      </c>
      <c r="F15" s="18">
        <v>1</v>
      </c>
      <c r="G15" s="30">
        <f>G14-F15</f>
        <v>68</v>
      </c>
      <c r="J15" s="45" t="s">
        <v>23</v>
      </c>
      <c r="K15" s="45"/>
      <c r="L15" s="41"/>
    </row>
    <row r="16" spans="2:17">
      <c r="C16" s="28">
        <v>43895</v>
      </c>
      <c r="D16" s="16">
        <v>158188</v>
      </c>
      <c r="E16" s="17" t="s">
        <v>15</v>
      </c>
      <c r="F16" s="18">
        <v>2</v>
      </c>
      <c r="G16" s="30">
        <f>G15-F16</f>
        <v>66</v>
      </c>
      <c r="J16" s="48" t="s">
        <v>25</v>
      </c>
      <c r="K16" s="45"/>
      <c r="L16" s="41"/>
    </row>
    <row r="17" spans="3:12">
      <c r="C17" s="28">
        <v>43896</v>
      </c>
      <c r="D17" s="16">
        <v>158189</v>
      </c>
      <c r="E17" s="17" t="s">
        <v>15</v>
      </c>
      <c r="F17" s="18">
        <v>4</v>
      </c>
      <c r="G17" s="30">
        <f>G16-F17</f>
        <v>62</v>
      </c>
      <c r="J17" s="48" t="s">
        <v>26</v>
      </c>
      <c r="K17" s="45"/>
      <c r="L17" s="41"/>
    </row>
    <row r="18" spans="3:12">
      <c r="C18" s="28">
        <v>43891</v>
      </c>
      <c r="D18" s="16">
        <v>106609</v>
      </c>
      <c r="E18" s="17" t="s">
        <v>17</v>
      </c>
      <c r="F18" s="18">
        <v>7</v>
      </c>
      <c r="G18" s="30">
        <v>60</v>
      </c>
      <c r="J18" s="48" t="s">
        <v>27</v>
      </c>
      <c r="K18" s="45"/>
      <c r="L18" s="41"/>
    </row>
    <row r="19" spans="3:12">
      <c r="C19" s="28">
        <v>43892</v>
      </c>
      <c r="D19" s="16">
        <v>106610</v>
      </c>
      <c r="E19" s="17" t="s">
        <v>17</v>
      </c>
      <c r="F19" s="18">
        <v>2</v>
      </c>
      <c r="G19" s="30">
        <f>G18-F19</f>
        <v>58</v>
      </c>
      <c r="J19" s="48" t="s">
        <v>28</v>
      </c>
      <c r="K19" s="45"/>
      <c r="L19" s="41"/>
    </row>
    <row r="20" spans="3:12">
      <c r="C20" s="28">
        <v>43893</v>
      </c>
      <c r="D20" s="16">
        <v>106611</v>
      </c>
      <c r="E20" s="17" t="s">
        <v>17</v>
      </c>
      <c r="F20" s="18">
        <v>10</v>
      </c>
      <c r="G20" s="30">
        <f t="shared" ref="G20:G50" si="0">G19-F20</f>
        <v>48</v>
      </c>
    </row>
    <row r="21" spans="3:12">
      <c r="C21" s="28">
        <v>43894</v>
      </c>
      <c r="D21" s="16">
        <v>106612</v>
      </c>
      <c r="E21" s="17" t="s">
        <v>17</v>
      </c>
      <c r="F21" s="18">
        <v>5</v>
      </c>
      <c r="G21" s="30">
        <f t="shared" si="0"/>
        <v>43</v>
      </c>
    </row>
    <row r="22" spans="3:12">
      <c r="C22" s="28">
        <v>43895</v>
      </c>
      <c r="D22" s="16">
        <v>106613</v>
      </c>
      <c r="E22" s="17" t="s">
        <v>17</v>
      </c>
      <c r="F22" s="18">
        <v>6</v>
      </c>
      <c r="G22" s="30">
        <f t="shared" si="0"/>
        <v>37</v>
      </c>
    </row>
    <row r="23" spans="3:12">
      <c r="C23" s="28">
        <v>43891</v>
      </c>
      <c r="D23" s="16">
        <v>139094</v>
      </c>
      <c r="E23" s="17" t="s">
        <v>19</v>
      </c>
      <c r="F23" s="18">
        <v>7</v>
      </c>
      <c r="G23" s="29">
        <v>69</v>
      </c>
    </row>
    <row r="24" spans="3:12">
      <c r="C24" s="28">
        <v>43892</v>
      </c>
      <c r="D24" s="16">
        <v>139095</v>
      </c>
      <c r="E24" s="17" t="s">
        <v>19</v>
      </c>
      <c r="F24" s="18">
        <v>7</v>
      </c>
      <c r="G24" s="30">
        <f t="shared" si="0"/>
        <v>62</v>
      </c>
    </row>
    <row r="25" spans="3:12">
      <c r="C25" s="28">
        <v>43893</v>
      </c>
      <c r="D25" s="16">
        <v>139096</v>
      </c>
      <c r="E25" s="17" t="s">
        <v>19</v>
      </c>
      <c r="F25" s="18">
        <v>1</v>
      </c>
      <c r="G25" s="30">
        <f t="shared" si="0"/>
        <v>61</v>
      </c>
    </row>
    <row r="26" spans="3:12">
      <c r="C26" s="28">
        <v>43891</v>
      </c>
      <c r="D26" s="16">
        <v>139572</v>
      </c>
      <c r="E26" s="17" t="s">
        <v>21</v>
      </c>
      <c r="F26" s="18">
        <v>1</v>
      </c>
      <c r="G26" s="29">
        <v>29</v>
      </c>
    </row>
    <row r="27" spans="3:12">
      <c r="C27" s="28">
        <v>43892</v>
      </c>
      <c r="D27" s="16">
        <v>139573</v>
      </c>
      <c r="E27" s="17" t="s">
        <v>21</v>
      </c>
      <c r="F27" s="18">
        <v>1</v>
      </c>
      <c r="G27" s="30">
        <f t="shared" si="0"/>
        <v>28</v>
      </c>
    </row>
    <row r="28" spans="3:12">
      <c r="C28" s="28">
        <v>43893</v>
      </c>
      <c r="D28" s="16">
        <v>139574</v>
      </c>
      <c r="E28" s="17" t="s">
        <v>21</v>
      </c>
      <c r="F28" s="18">
        <v>5</v>
      </c>
      <c r="G28" s="30">
        <f t="shared" si="0"/>
        <v>23</v>
      </c>
    </row>
    <row r="29" spans="3:12">
      <c r="C29" s="28">
        <v>43894</v>
      </c>
      <c r="D29" s="16">
        <v>139575</v>
      </c>
      <c r="E29" s="17" t="s">
        <v>21</v>
      </c>
      <c r="F29" s="18">
        <v>6</v>
      </c>
      <c r="G29" s="30">
        <f t="shared" si="0"/>
        <v>17</v>
      </c>
    </row>
    <row r="30" spans="3:12">
      <c r="C30" s="28">
        <v>43891</v>
      </c>
      <c r="D30" s="16">
        <v>190115</v>
      </c>
      <c r="E30" s="17" t="s">
        <v>23</v>
      </c>
      <c r="F30" s="18">
        <v>1</v>
      </c>
      <c r="G30" s="29">
        <v>46</v>
      </c>
    </row>
    <row r="31" spans="3:12">
      <c r="C31" s="28">
        <v>43892</v>
      </c>
      <c r="D31" s="16">
        <v>190116</v>
      </c>
      <c r="E31" s="17" t="s">
        <v>23</v>
      </c>
      <c r="F31" s="18">
        <v>7</v>
      </c>
      <c r="G31" s="30">
        <f t="shared" si="0"/>
        <v>39</v>
      </c>
    </row>
    <row r="32" spans="3:12">
      <c r="C32" s="28">
        <v>43893</v>
      </c>
      <c r="D32" s="16">
        <v>190117</v>
      </c>
      <c r="E32" s="17" t="s">
        <v>23</v>
      </c>
      <c r="F32" s="18">
        <v>4</v>
      </c>
      <c r="G32" s="30">
        <f t="shared" si="0"/>
        <v>35</v>
      </c>
    </row>
    <row r="33" spans="3:7">
      <c r="C33" s="28">
        <v>43891</v>
      </c>
      <c r="D33" s="16">
        <v>124938</v>
      </c>
      <c r="E33" s="17" t="s">
        <v>25</v>
      </c>
      <c r="F33" s="18">
        <v>9</v>
      </c>
      <c r="G33" s="29">
        <v>11</v>
      </c>
    </row>
    <row r="34" spans="3:7">
      <c r="C34" s="28">
        <v>43892</v>
      </c>
      <c r="D34" s="16">
        <v>124939</v>
      </c>
      <c r="E34" s="17" t="s">
        <v>25</v>
      </c>
      <c r="F34" s="18">
        <v>9</v>
      </c>
      <c r="G34" s="30">
        <f t="shared" si="0"/>
        <v>2</v>
      </c>
    </row>
    <row r="35" spans="3:7">
      <c r="C35" s="28">
        <v>43893</v>
      </c>
      <c r="D35" s="16">
        <v>124940</v>
      </c>
      <c r="E35" s="17" t="s">
        <v>25</v>
      </c>
      <c r="F35" s="18">
        <v>1</v>
      </c>
      <c r="G35" s="30">
        <f t="shared" si="0"/>
        <v>1</v>
      </c>
    </row>
    <row r="36" spans="3:7">
      <c r="C36" s="28">
        <v>43894</v>
      </c>
      <c r="D36" s="16">
        <v>124941</v>
      </c>
      <c r="E36" s="17" t="s">
        <v>25</v>
      </c>
      <c r="F36" s="18">
        <v>2</v>
      </c>
      <c r="G36" s="30">
        <f t="shared" si="0"/>
        <v>-1</v>
      </c>
    </row>
    <row r="37" spans="3:7">
      <c r="C37" s="28">
        <v>43895</v>
      </c>
      <c r="D37" s="16">
        <v>124942</v>
      </c>
      <c r="E37" s="17" t="s">
        <v>25</v>
      </c>
      <c r="F37" s="18">
        <v>8</v>
      </c>
      <c r="G37" s="30">
        <f t="shared" si="0"/>
        <v>-9</v>
      </c>
    </row>
    <row r="38" spans="3:7">
      <c r="C38" s="28">
        <v>43891</v>
      </c>
      <c r="D38" s="16">
        <v>160841</v>
      </c>
      <c r="E38" s="17" t="s">
        <v>26</v>
      </c>
      <c r="F38" s="18">
        <v>3</v>
      </c>
      <c r="G38" s="29">
        <v>11</v>
      </c>
    </row>
    <row r="39" spans="3:7">
      <c r="C39" s="28">
        <v>43892</v>
      </c>
      <c r="D39" s="16">
        <v>160842</v>
      </c>
      <c r="E39" s="17" t="s">
        <v>26</v>
      </c>
      <c r="F39" s="18">
        <v>1</v>
      </c>
      <c r="G39" s="30">
        <f t="shared" si="0"/>
        <v>10</v>
      </c>
    </row>
    <row r="40" spans="3:7">
      <c r="C40" s="28">
        <v>43893</v>
      </c>
      <c r="D40" s="16">
        <v>160843</v>
      </c>
      <c r="E40" s="17" t="s">
        <v>26</v>
      </c>
      <c r="F40" s="18">
        <v>6</v>
      </c>
      <c r="G40" s="30">
        <f t="shared" si="0"/>
        <v>4</v>
      </c>
    </row>
    <row r="41" spans="3:7">
      <c r="C41" s="28">
        <v>43894</v>
      </c>
      <c r="D41" s="16">
        <v>160844</v>
      </c>
      <c r="E41" s="17" t="s">
        <v>26</v>
      </c>
      <c r="F41" s="18">
        <v>9</v>
      </c>
      <c r="G41" s="30">
        <f t="shared" si="0"/>
        <v>-5</v>
      </c>
    </row>
    <row r="42" spans="3:7">
      <c r="C42" s="28">
        <v>43895</v>
      </c>
      <c r="D42" s="16">
        <v>160845</v>
      </c>
      <c r="E42" s="17" t="s">
        <v>26</v>
      </c>
      <c r="F42" s="18">
        <v>8</v>
      </c>
      <c r="G42" s="30">
        <f t="shared" si="0"/>
        <v>-13</v>
      </c>
    </row>
    <row r="43" spans="3:7">
      <c r="C43" s="28">
        <v>43896</v>
      </c>
      <c r="D43" s="16">
        <v>160846</v>
      </c>
      <c r="E43" s="17" t="s">
        <v>26</v>
      </c>
      <c r="F43" s="18">
        <v>5</v>
      </c>
      <c r="G43" s="30">
        <f t="shared" si="0"/>
        <v>-18</v>
      </c>
    </row>
    <row r="44" spans="3:7">
      <c r="C44" s="28">
        <v>43897</v>
      </c>
      <c r="D44" s="16">
        <v>160847</v>
      </c>
      <c r="E44" s="17" t="s">
        <v>26</v>
      </c>
      <c r="F44" s="18">
        <v>5</v>
      </c>
      <c r="G44" s="30">
        <f t="shared" si="0"/>
        <v>-23</v>
      </c>
    </row>
    <row r="45" spans="3:7">
      <c r="C45" s="28">
        <v>43898</v>
      </c>
      <c r="D45" s="16">
        <v>160848</v>
      </c>
      <c r="E45" s="17" t="s">
        <v>26</v>
      </c>
      <c r="F45" s="18">
        <v>6</v>
      </c>
      <c r="G45" s="30">
        <f t="shared" si="0"/>
        <v>-29</v>
      </c>
    </row>
    <row r="46" spans="3:7">
      <c r="C46" s="28">
        <v>43891</v>
      </c>
      <c r="D46" s="16">
        <v>112197</v>
      </c>
      <c r="E46" s="17" t="s">
        <v>27</v>
      </c>
      <c r="F46" s="18">
        <v>6</v>
      </c>
      <c r="G46" s="29">
        <v>67</v>
      </c>
    </row>
    <row r="47" spans="3:7">
      <c r="C47" s="28">
        <v>43892</v>
      </c>
      <c r="D47" s="16">
        <v>112197</v>
      </c>
      <c r="E47" s="17" t="s">
        <v>27</v>
      </c>
      <c r="F47" s="18">
        <v>4</v>
      </c>
      <c r="G47" s="30">
        <f t="shared" si="0"/>
        <v>63</v>
      </c>
    </row>
    <row r="48" spans="3:7">
      <c r="C48" s="28">
        <v>43893</v>
      </c>
      <c r="D48" s="16">
        <v>112198</v>
      </c>
      <c r="E48" s="17" t="s">
        <v>27</v>
      </c>
      <c r="F48" s="18">
        <v>5</v>
      </c>
      <c r="G48" s="30">
        <f t="shared" si="0"/>
        <v>58</v>
      </c>
    </row>
    <row r="49" spans="3:7">
      <c r="C49" s="28">
        <v>43894</v>
      </c>
      <c r="D49" s="16">
        <v>112199</v>
      </c>
      <c r="E49" s="17" t="s">
        <v>27</v>
      </c>
      <c r="F49" s="18">
        <v>6</v>
      </c>
      <c r="G49" s="30">
        <f t="shared" si="0"/>
        <v>52</v>
      </c>
    </row>
    <row r="50" spans="3:7">
      <c r="C50" s="28">
        <v>43895</v>
      </c>
      <c r="D50" s="16">
        <v>112200</v>
      </c>
      <c r="E50" s="17" t="s">
        <v>27</v>
      </c>
      <c r="F50" s="18">
        <v>7</v>
      </c>
      <c r="G50" s="30">
        <f t="shared" si="0"/>
        <v>45</v>
      </c>
    </row>
    <row r="51" spans="3:7">
      <c r="C51" s="31">
        <v>43891</v>
      </c>
      <c r="D51" s="20">
        <v>114722</v>
      </c>
      <c r="E51" s="32" t="s">
        <v>28</v>
      </c>
      <c r="F51" s="22">
        <v>87</v>
      </c>
      <c r="G51" s="33">
        <v>87</v>
      </c>
    </row>
  </sheetData>
  <mergeCells count="2">
    <mergeCell ref="B2:Q6"/>
    <mergeCell ref="K8:L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O57"/>
  <sheetViews>
    <sheetView showGridLines="0" workbookViewId="0">
      <selection activeCell="P12" sqref="P12"/>
    </sheetView>
  </sheetViews>
  <sheetFormatPr defaultRowHeight="15"/>
  <cols>
    <col min="2" max="2" width="11.5703125" bestFit="1" customWidth="1"/>
    <col min="4" max="4" width="14.140625" customWidth="1"/>
    <col min="6" max="6" width="11.7109375" customWidth="1"/>
    <col min="8" max="8" width="10.7109375" bestFit="1" customWidth="1"/>
    <col min="11" max="11" width="10.7109375" bestFit="1" customWidth="1"/>
  </cols>
  <sheetData>
    <row r="1" spans="2:15" ht="15.75" thickBot="1"/>
    <row r="2" spans="2:15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</row>
    <row r="3" spans="2:15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8"/>
    </row>
    <row r="4" spans="2:15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8"/>
    </row>
    <row r="5" spans="2:15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8"/>
    </row>
    <row r="6" spans="2:15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1"/>
    </row>
    <row r="8" spans="2:15" ht="15.75" thickBot="1">
      <c r="N8" s="52" t="s">
        <v>92</v>
      </c>
    </row>
    <row r="9" spans="2:15" ht="15.75">
      <c r="B9" s="42" t="s">
        <v>73</v>
      </c>
      <c r="C9" s="43" t="s">
        <v>75</v>
      </c>
      <c r="D9" s="44" t="s">
        <v>91</v>
      </c>
      <c r="G9" s="35" t="s">
        <v>88</v>
      </c>
      <c r="H9" s="49">
        <v>43891</v>
      </c>
      <c r="J9" s="35" t="s">
        <v>88</v>
      </c>
      <c r="K9" s="49">
        <v>43892</v>
      </c>
    </row>
    <row r="10" spans="2:15">
      <c r="B10" s="47">
        <v>43891</v>
      </c>
      <c r="C10" s="45" t="s">
        <v>76</v>
      </c>
      <c r="D10" s="46">
        <v>0.37953622241643098</v>
      </c>
    </row>
    <row r="11" spans="2:15">
      <c r="B11" s="47">
        <v>43891</v>
      </c>
      <c r="C11" s="45" t="s">
        <v>77</v>
      </c>
      <c r="D11" s="46">
        <v>0.37506827467374126</v>
      </c>
      <c r="G11" s="38" t="s">
        <v>89</v>
      </c>
      <c r="H11" s="38" t="s">
        <v>90</v>
      </c>
      <c r="J11" s="38" t="s">
        <v>89</v>
      </c>
      <c r="K11" s="38" t="s">
        <v>90</v>
      </c>
    </row>
    <row r="12" spans="2:15">
      <c r="B12" s="47">
        <v>43891</v>
      </c>
      <c r="C12" s="45" t="s">
        <v>78</v>
      </c>
      <c r="D12" s="46">
        <v>0.37480316069026026</v>
      </c>
      <c r="G12" s="39"/>
      <c r="H12" s="40"/>
      <c r="J12" s="39"/>
      <c r="K12" s="40"/>
    </row>
    <row r="13" spans="2:15">
      <c r="B13" s="47">
        <v>43891</v>
      </c>
      <c r="C13" s="45" t="s">
        <v>79</v>
      </c>
      <c r="D13" s="46">
        <v>0.37077589818515316</v>
      </c>
      <c r="G13" s="39"/>
      <c r="H13" s="40"/>
      <c r="J13" s="39"/>
      <c r="K13" s="40"/>
    </row>
    <row r="14" spans="2:15">
      <c r="B14" s="47">
        <v>43891</v>
      </c>
      <c r="C14" s="45" t="s">
        <v>80</v>
      </c>
      <c r="D14" s="46">
        <v>0.3786188168439254</v>
      </c>
      <c r="G14" s="39"/>
      <c r="H14" s="40"/>
      <c r="J14" s="39"/>
      <c r="K14" s="40"/>
    </row>
    <row r="15" spans="2:15">
      <c r="B15" s="47">
        <v>43891</v>
      </c>
      <c r="C15" s="45" t="s">
        <v>81</v>
      </c>
      <c r="D15" s="46">
        <v>0.37264461028932655</v>
      </c>
      <c r="G15" s="39"/>
      <c r="H15" s="40"/>
      <c r="J15" s="39"/>
      <c r="K15" s="40"/>
    </row>
    <row r="16" spans="2:15">
      <c r="B16" s="47">
        <v>43891</v>
      </c>
      <c r="C16" s="45" t="s">
        <v>82</v>
      </c>
      <c r="D16" s="46">
        <v>0.37717893324041774</v>
      </c>
      <c r="G16" s="39"/>
      <c r="H16" s="40"/>
      <c r="J16" s="39"/>
      <c r="K16" s="40"/>
    </row>
    <row r="17" spans="2:11">
      <c r="B17" s="47">
        <v>43891</v>
      </c>
      <c r="C17" s="45" t="s">
        <v>83</v>
      </c>
      <c r="D17" s="46">
        <v>0.37503558644452062</v>
      </c>
      <c r="G17" s="39"/>
      <c r="H17" s="40"/>
      <c r="J17" s="39"/>
      <c r="K17" s="40"/>
    </row>
    <row r="18" spans="2:11">
      <c r="B18" s="47">
        <v>43891</v>
      </c>
      <c r="C18" s="45" t="s">
        <v>84</v>
      </c>
      <c r="D18" s="46">
        <v>0.37747548796096086</v>
      </c>
      <c r="G18" s="39"/>
      <c r="H18" s="40"/>
      <c r="J18" s="39"/>
      <c r="K18" s="40"/>
    </row>
    <row r="19" spans="2:11">
      <c r="B19" s="47">
        <v>43891</v>
      </c>
      <c r="C19" s="45" t="s">
        <v>85</v>
      </c>
      <c r="D19" s="46">
        <v>0.37701394271963995</v>
      </c>
      <c r="G19" s="39"/>
      <c r="H19" s="40"/>
      <c r="J19" s="39"/>
      <c r="K19" s="40"/>
    </row>
    <row r="20" spans="2:11">
      <c r="B20" s="47">
        <v>43891</v>
      </c>
      <c r="C20" s="45" t="s">
        <v>86</v>
      </c>
      <c r="D20" s="46">
        <v>0.37814360435188638</v>
      </c>
      <c r="G20" s="39"/>
      <c r="H20" s="40"/>
      <c r="J20" s="39"/>
      <c r="K20" s="40"/>
    </row>
    <row r="21" spans="2:11">
      <c r="B21" s="47">
        <v>43891</v>
      </c>
      <c r="C21" s="45" t="s">
        <v>87</v>
      </c>
      <c r="D21" s="46">
        <v>0.37696272096938788</v>
      </c>
      <c r="E21" s="37"/>
      <c r="G21" s="39"/>
      <c r="H21" s="40"/>
      <c r="J21" s="39"/>
      <c r="K21" s="40"/>
    </row>
    <row r="22" spans="2:11">
      <c r="B22" s="47">
        <v>43891</v>
      </c>
      <c r="C22" s="48" t="s">
        <v>76</v>
      </c>
      <c r="D22" s="46">
        <v>0.74743263088753864</v>
      </c>
      <c r="G22" s="39"/>
      <c r="H22" s="40"/>
      <c r="J22" s="39"/>
      <c r="K22" s="40"/>
    </row>
    <row r="23" spans="2:11">
      <c r="B23" s="47">
        <v>43891</v>
      </c>
      <c r="C23" s="48" t="s">
        <v>77</v>
      </c>
      <c r="D23" s="46">
        <v>0.62407679972760988</v>
      </c>
      <c r="G23" s="39"/>
      <c r="H23" s="40"/>
      <c r="J23" s="39"/>
      <c r="K23" s="40"/>
    </row>
    <row r="24" spans="2:11">
      <c r="B24" s="47">
        <v>43891</v>
      </c>
      <c r="C24" s="48" t="s">
        <v>78</v>
      </c>
      <c r="D24" s="46">
        <v>0.73616362488806764</v>
      </c>
    </row>
    <row r="25" spans="2:11">
      <c r="B25" s="47">
        <v>43891</v>
      </c>
      <c r="C25" s="48" t="s">
        <v>79</v>
      </c>
      <c r="D25" s="46">
        <v>0.76336958625828621</v>
      </c>
    </row>
    <row r="26" spans="2:11">
      <c r="B26" s="47">
        <v>43891</v>
      </c>
      <c r="C26" s="48" t="s">
        <v>80</v>
      </c>
      <c r="D26" s="46">
        <v>0.68298899903155108</v>
      </c>
    </row>
    <row r="27" spans="2:11">
      <c r="B27" s="47">
        <v>43891</v>
      </c>
      <c r="C27" s="48" t="s">
        <v>81</v>
      </c>
      <c r="D27" s="46">
        <v>0.59272436156350516</v>
      </c>
    </row>
    <row r="28" spans="2:11">
      <c r="B28" s="47">
        <v>43891</v>
      </c>
      <c r="C28" s="48" t="s">
        <v>82</v>
      </c>
      <c r="D28" s="46">
        <v>0.68634111626659355</v>
      </c>
    </row>
    <row r="29" spans="2:11">
      <c r="B29" s="47">
        <v>43891</v>
      </c>
      <c r="C29" s="48" t="s">
        <v>83</v>
      </c>
      <c r="D29" s="46">
        <v>0.60482904169949481</v>
      </c>
    </row>
    <row r="30" spans="2:11">
      <c r="B30" s="47">
        <v>43891</v>
      </c>
      <c r="C30" s="48" t="s">
        <v>84</v>
      </c>
      <c r="D30" s="46">
        <v>0.72270802623016206</v>
      </c>
    </row>
    <row r="31" spans="2:11">
      <c r="B31" s="47">
        <v>43891</v>
      </c>
      <c r="C31" s="48" t="s">
        <v>85</v>
      </c>
      <c r="D31" s="46">
        <v>0.76620301417961434</v>
      </c>
    </row>
    <row r="32" spans="2:11">
      <c r="B32" s="47">
        <v>43891</v>
      </c>
      <c r="C32" s="48" t="s">
        <v>86</v>
      </c>
      <c r="D32" s="46">
        <v>0.64430790788515768</v>
      </c>
    </row>
    <row r="33" spans="2:4">
      <c r="B33" s="47">
        <v>43891</v>
      </c>
      <c r="C33" s="48" t="s">
        <v>87</v>
      </c>
      <c r="D33" s="46">
        <v>0.58090573827455383</v>
      </c>
    </row>
    <row r="34" spans="2:4">
      <c r="B34" s="47">
        <v>43892</v>
      </c>
      <c r="C34" s="45" t="s">
        <v>76</v>
      </c>
      <c r="D34" s="46">
        <v>0.37780376472069083</v>
      </c>
    </row>
    <row r="35" spans="2:4">
      <c r="B35" s="47">
        <v>43892</v>
      </c>
      <c r="C35" s="45" t="s">
        <v>77</v>
      </c>
      <c r="D35" s="46">
        <v>0.37502985424994928</v>
      </c>
    </row>
    <row r="36" spans="2:4">
      <c r="B36" s="47">
        <v>43892</v>
      </c>
      <c r="C36" s="45" t="s">
        <v>78</v>
      </c>
      <c r="D36" s="46">
        <v>0.37489144786798462</v>
      </c>
    </row>
    <row r="37" spans="2:4">
      <c r="B37" s="47">
        <v>43892</v>
      </c>
      <c r="C37" s="45" t="s">
        <v>79</v>
      </c>
      <c r="D37" s="46">
        <v>0.37181334612381611</v>
      </c>
    </row>
    <row r="38" spans="2:4">
      <c r="B38" s="47">
        <v>43892</v>
      </c>
      <c r="C38" s="45" t="s">
        <v>80</v>
      </c>
      <c r="D38" s="46">
        <v>0.37462665625862945</v>
      </c>
    </row>
    <row r="39" spans="2:4">
      <c r="B39" s="47">
        <v>43892</v>
      </c>
      <c r="C39" s="45" t="s">
        <v>81</v>
      </c>
      <c r="D39" s="46">
        <v>0.37116747420988744</v>
      </c>
    </row>
    <row r="40" spans="2:4">
      <c r="B40" s="47">
        <v>43892</v>
      </c>
      <c r="C40" s="45" t="s">
        <v>82</v>
      </c>
      <c r="D40" s="46">
        <v>0.37763320192619243</v>
      </c>
    </row>
    <row r="41" spans="2:4">
      <c r="B41" s="47">
        <v>43892</v>
      </c>
      <c r="C41" s="45" t="s">
        <v>83</v>
      </c>
      <c r="D41" s="46">
        <v>0.37667580286604457</v>
      </c>
    </row>
    <row r="42" spans="2:4">
      <c r="B42" s="47">
        <v>43892</v>
      </c>
      <c r="C42" s="45" t="s">
        <v>84</v>
      </c>
      <c r="D42" s="46">
        <v>0.37835137475342412</v>
      </c>
    </row>
    <row r="43" spans="2:4">
      <c r="B43" s="47">
        <v>43892</v>
      </c>
      <c r="C43" s="45" t="s">
        <v>85</v>
      </c>
      <c r="D43" s="46">
        <v>0.37580386089811574</v>
      </c>
    </row>
    <row r="44" spans="2:4">
      <c r="B44" s="47">
        <v>43892</v>
      </c>
      <c r="C44" s="45" t="s">
        <v>86</v>
      </c>
      <c r="D44" s="46">
        <v>0.37343396903072235</v>
      </c>
    </row>
    <row r="45" spans="2:4">
      <c r="B45" s="47">
        <v>43892</v>
      </c>
      <c r="C45" s="45" t="s">
        <v>87</v>
      </c>
      <c r="D45" s="46">
        <v>0.37686878907258309</v>
      </c>
    </row>
    <row r="46" spans="2:4">
      <c r="B46" s="47">
        <v>43892</v>
      </c>
      <c r="C46" s="48" t="s">
        <v>76</v>
      </c>
      <c r="D46" s="46">
        <v>0.72867995154422804</v>
      </c>
    </row>
    <row r="47" spans="2:4">
      <c r="B47" s="47">
        <v>43892</v>
      </c>
      <c r="C47" s="48" t="s">
        <v>77</v>
      </c>
      <c r="D47" s="46">
        <v>0.6005394473670137</v>
      </c>
    </row>
    <row r="48" spans="2:4">
      <c r="B48" s="47">
        <v>43892</v>
      </c>
      <c r="C48" s="48" t="s">
        <v>78</v>
      </c>
      <c r="D48" s="46">
        <v>0.77682765119425967</v>
      </c>
    </row>
    <row r="49" spans="2:4">
      <c r="B49" s="47">
        <v>43892</v>
      </c>
      <c r="C49" s="48" t="s">
        <v>79</v>
      </c>
      <c r="D49" s="46">
        <v>0.65004295501828591</v>
      </c>
    </row>
    <row r="50" spans="2:4">
      <c r="B50" s="47">
        <v>43892</v>
      </c>
      <c r="C50" s="48" t="s">
        <v>80</v>
      </c>
      <c r="D50" s="46">
        <v>0.65597680637904376</v>
      </c>
    </row>
    <row r="51" spans="2:4">
      <c r="B51" s="47">
        <v>43892</v>
      </c>
      <c r="C51" s="48" t="s">
        <v>81</v>
      </c>
      <c r="D51" s="46">
        <v>0.58993972859211463</v>
      </c>
    </row>
    <row r="52" spans="2:4">
      <c r="B52" s="47">
        <v>43892</v>
      </c>
      <c r="C52" s="48" t="s">
        <v>82</v>
      </c>
      <c r="D52" s="46">
        <v>0.75252855068567237</v>
      </c>
    </row>
    <row r="53" spans="2:4">
      <c r="B53" s="47">
        <v>43892</v>
      </c>
      <c r="C53" s="48" t="s">
        <v>83</v>
      </c>
      <c r="D53" s="46">
        <v>0.57005316753027335</v>
      </c>
    </row>
    <row r="54" spans="2:4">
      <c r="B54" s="47">
        <v>43892</v>
      </c>
      <c r="C54" s="48" t="s">
        <v>84</v>
      </c>
      <c r="D54" s="46">
        <v>0.57181835840574269</v>
      </c>
    </row>
    <row r="55" spans="2:4">
      <c r="B55" s="47">
        <v>43892</v>
      </c>
      <c r="C55" s="48" t="s">
        <v>85</v>
      </c>
      <c r="D55" s="46">
        <v>0.64146524289434415</v>
      </c>
    </row>
    <row r="56" spans="2:4">
      <c r="B56" s="47">
        <v>43892</v>
      </c>
      <c r="C56" s="48" t="s">
        <v>86</v>
      </c>
      <c r="D56" s="46">
        <v>0.68698406568874593</v>
      </c>
    </row>
    <row r="57" spans="2:4">
      <c r="B57" s="47">
        <v>43892</v>
      </c>
      <c r="C57" s="48" t="s">
        <v>87</v>
      </c>
      <c r="D57" s="46">
        <v>0.75640571496731734</v>
      </c>
    </row>
  </sheetData>
  <mergeCells count="1">
    <mergeCell ref="B2:O6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D19F2-541C-4D31-9414-BCDC78607FFB}">
  <dimension ref="B1:O57"/>
  <sheetViews>
    <sheetView showGridLines="0" topLeftCell="A7" workbookViewId="0">
      <selection activeCell="K27" sqref="K27"/>
    </sheetView>
  </sheetViews>
  <sheetFormatPr defaultRowHeight="15"/>
  <cols>
    <col min="2" max="2" width="11.5703125" bestFit="1" customWidth="1"/>
    <col min="4" max="4" width="14.140625" customWidth="1"/>
    <col min="6" max="6" width="11.7109375" customWidth="1"/>
    <col min="8" max="8" width="10.7109375" bestFit="1" customWidth="1"/>
    <col min="11" max="11" width="10.7109375" bestFit="1" customWidth="1"/>
  </cols>
  <sheetData>
    <row r="1" spans="2:15" ht="15.75" thickBot="1"/>
    <row r="2" spans="2:15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</row>
    <row r="3" spans="2:15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8"/>
    </row>
    <row r="4" spans="2:15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8"/>
    </row>
    <row r="5" spans="2:15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8"/>
    </row>
    <row r="6" spans="2:15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1"/>
    </row>
    <row r="8" spans="2:15" ht="15.75" thickBot="1"/>
    <row r="9" spans="2:15" ht="15.75">
      <c r="B9" s="42" t="s">
        <v>73</v>
      </c>
      <c r="C9" s="43" t="s">
        <v>75</v>
      </c>
      <c r="D9" s="44" t="s">
        <v>91</v>
      </c>
      <c r="G9" s="35" t="s">
        <v>88</v>
      </c>
      <c r="H9" s="36">
        <v>43891</v>
      </c>
      <c r="J9" s="35" t="s">
        <v>88</v>
      </c>
      <c r="K9" s="36">
        <v>43892</v>
      </c>
    </row>
    <row r="10" spans="2:15">
      <c r="B10" s="47">
        <v>43891</v>
      </c>
      <c r="C10" s="45" t="s">
        <v>76</v>
      </c>
      <c r="D10" s="46">
        <v>0.37953622241643098</v>
      </c>
    </row>
    <row r="11" spans="2:15">
      <c r="B11" s="47">
        <v>43891</v>
      </c>
      <c r="C11" s="45" t="s">
        <v>77</v>
      </c>
      <c r="D11" s="46">
        <v>0.37506827467374126</v>
      </c>
      <c r="G11" s="38" t="s">
        <v>89</v>
      </c>
      <c r="H11" s="38" t="s">
        <v>90</v>
      </c>
      <c r="J11" s="38" t="s">
        <v>89</v>
      </c>
      <c r="K11" s="38" t="s">
        <v>90</v>
      </c>
    </row>
    <row r="12" spans="2:15">
      <c r="B12" s="47">
        <v>43891</v>
      </c>
      <c r="C12" s="45" t="s">
        <v>78</v>
      </c>
      <c r="D12" s="46">
        <v>0.37480316069026026</v>
      </c>
      <c r="G12" s="39" t="s">
        <v>76</v>
      </c>
      <c r="H12" s="40" cm="1">
        <f t="array" ref="H12">_xlfn.XLOOKUP(G12,IF($H$9=$B$10:$B$57,$C$10:$C$57),$D$10:$D$57,,0,-1)-_xlfn.XLOOKUP(G12,IF($H$9=$B$10:$B$57,$C$10:$C$57),$D$10:$D$57,,0,1)</f>
        <v>0.36789640847110766</v>
      </c>
      <c r="J12" s="39" t="s">
        <v>76</v>
      </c>
      <c r="K12" s="40" cm="1">
        <f t="array" ref="K12">_xlfn.XLOOKUP(G12,IF($K$9=$B$10:$B$57,$C$10:$C$57),$D$10:$D$57,,0,-1)-_xlfn.XLOOKUP(G12,IF($K$9=$B$10:$B$57,$C$10:$C$57),$D$10:$D$57,,0,1)</f>
        <v>0.35087618682353722</v>
      </c>
    </row>
    <row r="13" spans="2:15">
      <c r="B13" s="47">
        <v>43891</v>
      </c>
      <c r="C13" s="45" t="s">
        <v>79</v>
      </c>
      <c r="D13" s="46">
        <v>0.37077589818515316</v>
      </c>
      <c r="G13" s="39" t="s">
        <v>77</v>
      </c>
      <c r="H13" s="40" cm="1">
        <f t="array" ref="H13">_xlfn.XLOOKUP(G13,IF($H$9=$B$10:$B$57,$C$10:$C$57),$D$10:$D$57,,0,-1)-_xlfn.XLOOKUP(G13,IF($H$9=$B$10:$B$57,$C$10:$C$57),$D$10:$D$57,,0,1)</f>
        <v>0.24900852505386861</v>
      </c>
      <c r="J13" s="39" t="s">
        <v>77</v>
      </c>
      <c r="K13" s="40" cm="1">
        <f t="array" ref="K13">_xlfn.XLOOKUP(G13,IF($K$9=$B$10:$B$57,$C$10:$C$57),$D$10:$D$57,,0,-1)-_xlfn.XLOOKUP(G13,IF($K$9=$B$10:$B$57,$C$10:$C$57),$D$10:$D$57,,0,1)</f>
        <v>0.22550959311706442</v>
      </c>
    </row>
    <row r="14" spans="2:15">
      <c r="B14" s="47">
        <v>43891</v>
      </c>
      <c r="C14" s="45" t="s">
        <v>80</v>
      </c>
      <c r="D14" s="46">
        <v>0.3786188168439254</v>
      </c>
      <c r="G14" s="39" t="s">
        <v>78</v>
      </c>
      <c r="H14" s="40" cm="1">
        <f t="array" ref="H14">_xlfn.XLOOKUP(G14,IF($H$9=$B$10:$B$57,$C$10:$C$57),$D$10:$D$57,,0,-1)-_xlfn.XLOOKUP(G14,IF($H$9=$B$10:$B$57,$C$10:$C$57),$D$10:$D$57,,0,1)</f>
        <v>0.36136046419780737</v>
      </c>
      <c r="J14" s="39" t="s">
        <v>78</v>
      </c>
      <c r="K14" s="40" cm="1">
        <f t="array" ref="K14">_xlfn.XLOOKUP(G14,IF($K$9=$B$10:$B$57,$C$10:$C$57),$D$10:$D$57,,0,-1)-_xlfn.XLOOKUP(G14,IF($K$9=$B$10:$B$57,$C$10:$C$57),$D$10:$D$57,,0,1)</f>
        <v>0.40193620332627505</v>
      </c>
    </row>
    <row r="15" spans="2:15">
      <c r="B15" s="47">
        <v>43891</v>
      </c>
      <c r="C15" s="45" t="s">
        <v>81</v>
      </c>
      <c r="D15" s="46">
        <v>0.37264461028932655</v>
      </c>
      <c r="G15" s="39" t="s">
        <v>79</v>
      </c>
      <c r="H15" s="40" cm="1">
        <f t="array" ref="H15">_xlfn.XLOOKUP(G15,IF($H$9=$B$10:$B$57,$C$10:$C$57),$D$10:$D$57,,0,-1)-_xlfn.XLOOKUP(G15,IF($H$9=$B$10:$B$57,$C$10:$C$57),$D$10:$D$57,,0,1)</f>
        <v>0.39259368807313305</v>
      </c>
      <c r="J15" s="39" t="s">
        <v>79</v>
      </c>
      <c r="K15" s="40" cm="1">
        <f t="array" ref="K15">_xlfn.XLOOKUP(G15,IF($K$9=$B$10:$B$57,$C$10:$C$57),$D$10:$D$57,,0,-1)-_xlfn.XLOOKUP(G15,IF($K$9=$B$10:$B$57,$C$10:$C$57),$D$10:$D$57,,0,1)</f>
        <v>0.27822960889446979</v>
      </c>
    </row>
    <row r="16" spans="2:15">
      <c r="B16" s="47">
        <v>43891</v>
      </c>
      <c r="C16" s="45" t="s">
        <v>82</v>
      </c>
      <c r="D16" s="46">
        <v>0.37717893324041774</v>
      </c>
      <c r="G16" s="39" t="s">
        <v>80</v>
      </c>
      <c r="H16" s="40" cm="1">
        <f t="array" ref="H16">_xlfn.XLOOKUP(G16,IF($H$9=$B$10:$B$57,$C$10:$C$57),$D$10:$D$57,,0,-1)-_xlfn.XLOOKUP(G16,IF($H$9=$B$10:$B$57,$C$10:$C$57),$D$10:$D$57,,0,1)</f>
        <v>0.30437018218762568</v>
      </c>
      <c r="J16" s="39" t="s">
        <v>80</v>
      </c>
      <c r="K16" s="40" cm="1">
        <f t="array" ref="K16">_xlfn.XLOOKUP(G16,IF($K$9=$B$10:$B$57,$C$10:$C$57),$D$10:$D$57,,0,-1)-_xlfn.XLOOKUP(G16,IF($K$9=$B$10:$B$57,$C$10:$C$57),$D$10:$D$57,,0,1)</f>
        <v>0.28135015012041431</v>
      </c>
    </row>
    <row r="17" spans="2:11">
      <c r="B17" s="47">
        <v>43891</v>
      </c>
      <c r="C17" s="45" t="s">
        <v>83</v>
      </c>
      <c r="D17" s="46">
        <v>0.37503558644452062</v>
      </c>
      <c r="G17" s="39" t="s">
        <v>81</v>
      </c>
      <c r="H17" s="40" cm="1">
        <f t="array" ref="H17">_xlfn.XLOOKUP(G17,IF($H$9=$B$10:$B$57,$C$10:$C$57),$D$10:$D$57,,0,-1)-_xlfn.XLOOKUP(G17,IF($H$9=$B$10:$B$57,$C$10:$C$57),$D$10:$D$57,,0,1)</f>
        <v>0.22007975127417861</v>
      </c>
      <c r="J17" s="39" t="s">
        <v>81</v>
      </c>
      <c r="K17" s="40" cm="1">
        <f t="array" ref="K17">_xlfn.XLOOKUP(G17,IF($K$9=$B$10:$B$57,$C$10:$C$57),$D$10:$D$57,,0,-1)-_xlfn.XLOOKUP(G17,IF($K$9=$B$10:$B$57,$C$10:$C$57),$D$10:$D$57,,0,1)</f>
        <v>0.21877225438222719</v>
      </c>
    </row>
    <row r="18" spans="2:11">
      <c r="B18" s="47">
        <v>43891</v>
      </c>
      <c r="C18" s="45" t="s">
        <v>84</v>
      </c>
      <c r="D18" s="46">
        <v>0.37747548796096086</v>
      </c>
      <c r="G18" s="39" t="s">
        <v>82</v>
      </c>
      <c r="H18" s="40" cm="1">
        <f t="array" ref="H18">_xlfn.XLOOKUP(G18,IF($H$9=$B$10:$B$57,$C$10:$C$57),$D$10:$D$57,,0,-1)-_xlfn.XLOOKUP(G18,IF($H$9=$B$10:$B$57,$C$10:$C$57),$D$10:$D$57,,0,1)</f>
        <v>0.30916218302617582</v>
      </c>
      <c r="J18" s="39" t="s">
        <v>82</v>
      </c>
      <c r="K18" s="40" cm="1">
        <f t="array" ref="K18">_xlfn.XLOOKUP(G18,IF($K$9=$B$10:$B$57,$C$10:$C$57),$D$10:$D$57,,0,-1)-_xlfn.XLOOKUP(G18,IF($K$9=$B$10:$B$57,$C$10:$C$57),$D$10:$D$57,,0,1)</f>
        <v>0.37489534875947994</v>
      </c>
    </row>
    <row r="19" spans="2:11">
      <c r="B19" s="47">
        <v>43891</v>
      </c>
      <c r="C19" s="45" t="s">
        <v>85</v>
      </c>
      <c r="D19" s="46">
        <v>0.37701394271963995</v>
      </c>
      <c r="G19" s="39" t="s">
        <v>83</v>
      </c>
      <c r="H19" s="40" cm="1">
        <f t="array" ref="H19">_xlfn.XLOOKUP(G19,IF($H$9=$B$10:$B$57,$C$10:$C$57),$D$10:$D$57,,0,-1)-_xlfn.XLOOKUP(G19,IF($H$9=$B$10:$B$57,$C$10:$C$57),$D$10:$D$57,,0,1)</f>
        <v>0.22979345525497419</v>
      </c>
      <c r="J19" s="39" t="s">
        <v>83</v>
      </c>
      <c r="K19" s="40" cm="1">
        <f t="array" ref="K19">_xlfn.XLOOKUP(G19,IF($K$9=$B$10:$B$57,$C$10:$C$57),$D$10:$D$57,,0,-1)-_xlfn.XLOOKUP(G19,IF($K$9=$B$10:$B$57,$C$10:$C$57),$D$10:$D$57,,0,1)</f>
        <v>0.19337736466422878</v>
      </c>
    </row>
    <row r="20" spans="2:11">
      <c r="B20" s="47">
        <v>43891</v>
      </c>
      <c r="C20" s="45" t="s">
        <v>86</v>
      </c>
      <c r="D20" s="46">
        <v>0.37814360435188638</v>
      </c>
      <c r="G20" s="39" t="s">
        <v>84</v>
      </c>
      <c r="H20" s="40" cm="1">
        <f t="array" ref="H20">_xlfn.XLOOKUP(G20,IF($H$9=$B$10:$B$57,$C$10:$C$57),$D$10:$D$57,,0,-1)-_xlfn.XLOOKUP(G20,IF($H$9=$B$10:$B$57,$C$10:$C$57),$D$10:$D$57,,0,1)</f>
        <v>0.34523253826920119</v>
      </c>
      <c r="J20" s="39" t="s">
        <v>84</v>
      </c>
      <c r="K20" s="40" cm="1">
        <f t="array" ref="K20">_xlfn.XLOOKUP(G20,IF($K$9=$B$10:$B$57,$C$10:$C$57),$D$10:$D$57,,0,-1)-_xlfn.XLOOKUP(G20,IF($K$9=$B$10:$B$57,$C$10:$C$57),$D$10:$D$57,,0,1)</f>
        <v>0.19346698365231857</v>
      </c>
    </row>
    <row r="21" spans="2:11">
      <c r="B21" s="47">
        <v>43891</v>
      </c>
      <c r="C21" s="45" t="s">
        <v>87</v>
      </c>
      <c r="D21" s="46">
        <v>0.37696272096938788</v>
      </c>
      <c r="E21" s="37"/>
      <c r="G21" s="39" t="s">
        <v>85</v>
      </c>
      <c r="H21" s="40" cm="1">
        <f t="array" ref="H21">_xlfn.XLOOKUP(G21,IF($H$9=$B$10:$B$57,$C$10:$C$57),$D$10:$D$57,,0,-1)-_xlfn.XLOOKUP(G21,IF($H$9=$B$10:$B$57,$C$10:$C$57),$D$10:$D$57,,0,1)</f>
        <v>0.38918907145997439</v>
      </c>
      <c r="J21" s="39" t="s">
        <v>85</v>
      </c>
      <c r="K21" s="40" cm="1">
        <f t="array" ref="K21">_xlfn.XLOOKUP(G21,IF($K$9=$B$10:$B$57,$C$10:$C$57),$D$10:$D$57,,0,-1)-_xlfn.XLOOKUP(G21,IF($K$9=$B$10:$B$57,$C$10:$C$57),$D$10:$D$57,,0,1)</f>
        <v>0.26566138199622841</v>
      </c>
    </row>
    <row r="22" spans="2:11">
      <c r="B22" s="47">
        <v>43891</v>
      </c>
      <c r="C22" s="48" t="s">
        <v>76</v>
      </c>
      <c r="D22" s="46">
        <v>0.74743263088753864</v>
      </c>
      <c r="G22" s="39" t="s">
        <v>86</v>
      </c>
      <c r="H22" s="40" cm="1">
        <f t="array" ref="H22">_xlfn.XLOOKUP(G22,IF($H$9=$B$10:$B$57,$C$10:$C$57),$D$10:$D$57,,0,-1)-_xlfn.XLOOKUP(G22,IF($H$9=$B$10:$B$57,$C$10:$C$57),$D$10:$D$57,,0,1)</f>
        <v>0.26616430353327131</v>
      </c>
      <c r="J22" s="39" t="s">
        <v>86</v>
      </c>
      <c r="K22" s="40" cm="1">
        <f t="array" ref="K22">_xlfn.XLOOKUP(G22,IF($K$9=$B$10:$B$57,$C$10:$C$57),$D$10:$D$57,,0,-1)-_xlfn.XLOOKUP(G22,IF($K$9=$B$10:$B$57,$C$10:$C$57),$D$10:$D$57,,0,1)</f>
        <v>0.31355009665802358</v>
      </c>
    </row>
    <row r="23" spans="2:11">
      <c r="B23" s="47">
        <v>43891</v>
      </c>
      <c r="C23" s="48" t="s">
        <v>77</v>
      </c>
      <c r="D23" s="46">
        <v>0.62407679972760988</v>
      </c>
      <c r="G23" s="39" t="s">
        <v>87</v>
      </c>
      <c r="H23" s="40" cm="1">
        <f t="array" ref="H23">_xlfn.XLOOKUP(G23,IF($H$9=$B$10:$B$57,$C$10:$C$57),$D$10:$D$57,,0,-1)-_xlfn.XLOOKUP(G23,IF($H$9=$B$10:$B$57,$C$10:$C$57),$D$10:$D$57,,0,1)</f>
        <v>0.20394301730516595</v>
      </c>
      <c r="J23" s="39" t="s">
        <v>87</v>
      </c>
      <c r="K23" s="40" cm="1">
        <f t="array" ref="K23">_xlfn.XLOOKUP(G23,IF($K$9=$B$10:$B$57,$C$10:$C$57),$D$10:$D$57,,0,-1)-_xlfn.XLOOKUP(G23,IF($K$9=$B$10:$B$57,$C$10:$C$57),$D$10:$D$57,,0,1)</f>
        <v>0.37953692589473426</v>
      </c>
    </row>
    <row r="24" spans="2:11">
      <c r="B24" s="47">
        <v>43891</v>
      </c>
      <c r="C24" s="48" t="s">
        <v>78</v>
      </c>
      <c r="D24" s="46">
        <v>0.73616362488806764</v>
      </c>
    </row>
    <row r="25" spans="2:11">
      <c r="B25" s="47">
        <v>43891</v>
      </c>
      <c r="C25" s="48" t="s">
        <v>79</v>
      </c>
      <c r="D25" s="46">
        <v>0.76336958625828621</v>
      </c>
    </row>
    <row r="26" spans="2:11">
      <c r="B26" s="47">
        <v>43891</v>
      </c>
      <c r="C26" s="48" t="s">
        <v>80</v>
      </c>
      <c r="D26" s="46">
        <v>0.68298899903155108</v>
      </c>
    </row>
    <row r="27" spans="2:11">
      <c r="B27" s="47">
        <v>43891</v>
      </c>
      <c r="C27" s="48" t="s">
        <v>81</v>
      </c>
      <c r="D27" s="46">
        <v>0.59272436156350516</v>
      </c>
    </row>
    <row r="28" spans="2:11">
      <c r="B28" s="47">
        <v>43891</v>
      </c>
      <c r="C28" s="48" t="s">
        <v>82</v>
      </c>
      <c r="D28" s="46">
        <v>0.68634111626659355</v>
      </c>
    </row>
    <row r="29" spans="2:11">
      <c r="B29" s="47">
        <v>43891</v>
      </c>
      <c r="C29" s="48" t="s">
        <v>83</v>
      </c>
      <c r="D29" s="46">
        <v>0.60482904169949481</v>
      </c>
    </row>
    <row r="30" spans="2:11">
      <c r="B30" s="47">
        <v>43891</v>
      </c>
      <c r="C30" s="48" t="s">
        <v>84</v>
      </c>
      <c r="D30" s="46">
        <v>0.72270802623016206</v>
      </c>
    </row>
    <row r="31" spans="2:11">
      <c r="B31" s="47">
        <v>43891</v>
      </c>
      <c r="C31" s="48" t="s">
        <v>85</v>
      </c>
      <c r="D31" s="46">
        <v>0.76620301417961434</v>
      </c>
    </row>
    <row r="32" spans="2:11">
      <c r="B32" s="47">
        <v>43891</v>
      </c>
      <c r="C32" s="48" t="s">
        <v>86</v>
      </c>
      <c r="D32" s="46">
        <v>0.64430790788515768</v>
      </c>
    </row>
    <row r="33" spans="2:4">
      <c r="B33" s="47">
        <v>43891</v>
      </c>
      <c r="C33" s="48" t="s">
        <v>87</v>
      </c>
      <c r="D33" s="46">
        <v>0.58090573827455383</v>
      </c>
    </row>
    <row r="34" spans="2:4">
      <c r="B34" s="47">
        <v>43892</v>
      </c>
      <c r="C34" s="45" t="s">
        <v>76</v>
      </c>
      <c r="D34" s="46">
        <v>0.37780376472069083</v>
      </c>
    </row>
    <row r="35" spans="2:4">
      <c r="B35" s="47">
        <v>43892</v>
      </c>
      <c r="C35" s="45" t="s">
        <v>77</v>
      </c>
      <c r="D35" s="46">
        <v>0.37502985424994928</v>
      </c>
    </row>
    <row r="36" spans="2:4">
      <c r="B36" s="47">
        <v>43892</v>
      </c>
      <c r="C36" s="45" t="s">
        <v>78</v>
      </c>
      <c r="D36" s="46">
        <v>0.37489144786798462</v>
      </c>
    </row>
    <row r="37" spans="2:4">
      <c r="B37" s="47">
        <v>43892</v>
      </c>
      <c r="C37" s="45" t="s">
        <v>79</v>
      </c>
      <c r="D37" s="46">
        <v>0.37181334612381611</v>
      </c>
    </row>
    <row r="38" spans="2:4">
      <c r="B38" s="47">
        <v>43892</v>
      </c>
      <c r="C38" s="45" t="s">
        <v>80</v>
      </c>
      <c r="D38" s="46">
        <v>0.37462665625862945</v>
      </c>
    </row>
    <row r="39" spans="2:4">
      <c r="B39" s="47">
        <v>43892</v>
      </c>
      <c r="C39" s="45" t="s">
        <v>81</v>
      </c>
      <c r="D39" s="46">
        <v>0.37116747420988744</v>
      </c>
    </row>
    <row r="40" spans="2:4">
      <c r="B40" s="47">
        <v>43892</v>
      </c>
      <c r="C40" s="45" t="s">
        <v>82</v>
      </c>
      <c r="D40" s="46">
        <v>0.37763320192619243</v>
      </c>
    </row>
    <row r="41" spans="2:4">
      <c r="B41" s="47">
        <v>43892</v>
      </c>
      <c r="C41" s="45" t="s">
        <v>83</v>
      </c>
      <c r="D41" s="46">
        <v>0.37667580286604457</v>
      </c>
    </row>
    <row r="42" spans="2:4">
      <c r="B42" s="47">
        <v>43892</v>
      </c>
      <c r="C42" s="45" t="s">
        <v>84</v>
      </c>
      <c r="D42" s="46">
        <v>0.37835137475342412</v>
      </c>
    </row>
    <row r="43" spans="2:4">
      <c r="B43" s="47">
        <v>43892</v>
      </c>
      <c r="C43" s="45" t="s">
        <v>85</v>
      </c>
      <c r="D43" s="46">
        <v>0.37580386089811574</v>
      </c>
    </row>
    <row r="44" spans="2:4">
      <c r="B44" s="47">
        <v>43892</v>
      </c>
      <c r="C44" s="45" t="s">
        <v>86</v>
      </c>
      <c r="D44" s="46">
        <v>0.37343396903072235</v>
      </c>
    </row>
    <row r="45" spans="2:4">
      <c r="B45" s="47">
        <v>43892</v>
      </c>
      <c r="C45" s="45" t="s">
        <v>87</v>
      </c>
      <c r="D45" s="46">
        <v>0.37686878907258309</v>
      </c>
    </row>
    <row r="46" spans="2:4">
      <c r="B46" s="47">
        <v>43892</v>
      </c>
      <c r="C46" s="48" t="s">
        <v>76</v>
      </c>
      <c r="D46" s="46">
        <v>0.72867995154422804</v>
      </c>
    </row>
    <row r="47" spans="2:4">
      <c r="B47" s="47">
        <v>43892</v>
      </c>
      <c r="C47" s="48" t="s">
        <v>77</v>
      </c>
      <c r="D47" s="46">
        <v>0.6005394473670137</v>
      </c>
    </row>
    <row r="48" spans="2:4">
      <c r="B48" s="47">
        <v>43892</v>
      </c>
      <c r="C48" s="48" t="s">
        <v>78</v>
      </c>
      <c r="D48" s="46">
        <v>0.77682765119425967</v>
      </c>
    </row>
    <row r="49" spans="2:4">
      <c r="B49" s="47">
        <v>43892</v>
      </c>
      <c r="C49" s="48" t="s">
        <v>79</v>
      </c>
      <c r="D49" s="46">
        <v>0.65004295501828591</v>
      </c>
    </row>
    <row r="50" spans="2:4">
      <c r="B50" s="47">
        <v>43892</v>
      </c>
      <c r="C50" s="48" t="s">
        <v>80</v>
      </c>
      <c r="D50" s="46">
        <v>0.65597680637904376</v>
      </c>
    </row>
    <row r="51" spans="2:4">
      <c r="B51" s="47">
        <v>43892</v>
      </c>
      <c r="C51" s="48" t="s">
        <v>81</v>
      </c>
      <c r="D51" s="46">
        <v>0.58993972859211463</v>
      </c>
    </row>
    <row r="52" spans="2:4">
      <c r="B52" s="47">
        <v>43892</v>
      </c>
      <c r="C52" s="48" t="s">
        <v>82</v>
      </c>
      <c r="D52" s="46">
        <v>0.75252855068567237</v>
      </c>
    </row>
    <row r="53" spans="2:4">
      <c r="B53" s="47">
        <v>43892</v>
      </c>
      <c r="C53" s="48" t="s">
        <v>83</v>
      </c>
      <c r="D53" s="46">
        <v>0.57005316753027335</v>
      </c>
    </row>
    <row r="54" spans="2:4">
      <c r="B54" s="47">
        <v>43892</v>
      </c>
      <c r="C54" s="48" t="s">
        <v>84</v>
      </c>
      <c r="D54" s="46">
        <v>0.57181835840574269</v>
      </c>
    </row>
    <row r="55" spans="2:4">
      <c r="B55" s="47">
        <v>43892</v>
      </c>
      <c r="C55" s="48" t="s">
        <v>85</v>
      </c>
      <c r="D55" s="46">
        <v>0.64146524289434415</v>
      </c>
    </row>
    <row r="56" spans="2:4">
      <c r="B56" s="47">
        <v>43892</v>
      </c>
      <c r="C56" s="48" t="s">
        <v>86</v>
      </c>
      <c r="D56" s="46">
        <v>0.68698406568874593</v>
      </c>
    </row>
    <row r="57" spans="2:4">
      <c r="B57" s="47">
        <v>43892</v>
      </c>
      <c r="C57" s="48" t="s">
        <v>87</v>
      </c>
      <c r="D57" s="46">
        <v>0.75640571496731734</v>
      </c>
    </row>
  </sheetData>
  <mergeCells count="1">
    <mergeCell ref="B2:O6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CONTEÚDO</vt:lpstr>
      <vt:lpstr>EXPLICAÇÃO</vt:lpstr>
      <vt:lpstr>EXPLICAÇÃO (2)</vt:lpstr>
      <vt:lpstr>EXERCÍCIOS</vt:lpstr>
      <vt:lpstr>EXERCÍCIOS (Resolução)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Rana</dc:creator>
  <cp:lastModifiedBy>Jean-Lucas Luquetti Silva</cp:lastModifiedBy>
  <dcterms:created xsi:type="dcterms:W3CDTF">2015-11-17T16:12:59Z</dcterms:created>
  <dcterms:modified xsi:type="dcterms:W3CDTF">2023-05-29T16:37:06Z</dcterms:modified>
</cp:coreProperties>
</file>